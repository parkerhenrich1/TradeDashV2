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5" activeTab="9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EliteLeaders" sheetId="2" state="visible" r:id="rId2"/>
    <sheet xmlns:r="http://schemas.openxmlformats.org/officeDocument/2006/relationships" name="InstitutionalAccumulation" sheetId="3" state="visible" r:id="rId3"/>
    <sheet xmlns:r="http://schemas.openxmlformats.org/officeDocument/2006/relationships" name="TradeDashRankings" sheetId="4" state="visible" r:id="rId4"/>
    <sheet xmlns:r="http://schemas.openxmlformats.org/officeDocument/2006/relationships" name="Market Dashboard" sheetId="5" state="visible" r:id="rId5"/>
    <sheet xmlns:r="http://schemas.openxmlformats.org/officeDocument/2006/relationships" name="Indicators" sheetId="6" state="visible" r:id="rId6"/>
    <sheet xmlns:r="http://schemas.openxmlformats.org/officeDocument/2006/relationships" name="TickerUniverse" sheetId="7" state="visible" r:id="rId7"/>
    <sheet xmlns:r="http://schemas.openxmlformats.org/officeDocument/2006/relationships" name="Trade Journal" sheetId="8" state="visible" r:id="rId8"/>
    <sheet xmlns:r="http://schemas.openxmlformats.org/officeDocument/2006/relationships" name="Risk Calculator" sheetId="9" state="visible" r:id="rId9"/>
    <sheet xmlns:r="http://schemas.openxmlformats.org/officeDocument/2006/relationships" name="Trade Radar" sheetId="10" state="visible" r:id="rId10"/>
  </sheets>
  <externalReferences>
    <externalReference xmlns:r="http://schemas.openxmlformats.org/officeDocument/2006/relationships" r:id="rId11"/>
  </externalReferences>
  <definedNames>
    <definedName name="SPYTrendScore">[1]TradeRadar!XFC1048537</definedName>
    <definedName name="ExternalData_2" localSheetId="5" hidden="1">Indicators!$A$1:$D$13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[$$-409]* #,##0.00_);_([$$-409]* \(#,##0.00\);_([$$-409]* &quot;-&quot;??_);_(@_)"/>
    <numFmt numFmtId="165" formatCode="#,##0.000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FFC000"/>
      <sz val="11"/>
      <scheme val="minor"/>
    </font>
    <font>
      <name val="Segoe UI"/>
      <family val="2"/>
      <color theme="1"/>
      <sz val="11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</fonts>
  <fills count="2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9" fillId="0" borderId="0"/>
    <xf numFmtId="9" fontId="9" fillId="0" borderId="0"/>
  </cellStyleXfs>
  <cellXfs count="74">
    <xf numFmtId="0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2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8" fillId="8" borderId="2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9" fontId="0" fillId="0" borderId="0" pivotButton="0" quotePrefix="0" xfId="1"/>
    <xf numFmtId="2" fontId="0" fillId="0" borderId="0" pivotButton="0" quotePrefix="0" xfId="1"/>
    <xf numFmtId="2" fontId="3" fillId="6" borderId="1" applyAlignment="1" pivotButton="0" quotePrefix="0" xfId="1">
      <alignment horizontal="center"/>
    </xf>
    <xf numFmtId="0" fontId="0" fillId="11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0" fillId="20" borderId="7" pivotButton="0" quotePrefix="0" xfId="0"/>
    <xf numFmtId="0" fontId="0" fillId="19" borderId="7" pivotButton="0" quotePrefix="0" xfId="0"/>
    <xf numFmtId="0" fontId="0" fillId="19" borderId="9" pivotButton="0" quotePrefix="0" xfId="0"/>
    <xf numFmtId="0" fontId="0" fillId="20" borderId="10" pivotButton="0" quotePrefix="0" xfId="0"/>
    <xf numFmtId="0" fontId="0" fillId="19" borderId="10" pivotButton="0" quotePrefix="0" xfId="0"/>
    <xf numFmtId="2" fontId="0" fillId="20" borderId="7" pivotButton="0" quotePrefix="0" xfId="1"/>
    <xf numFmtId="2" fontId="0" fillId="19" borderId="7" pivotButton="0" quotePrefix="0" xfId="1"/>
    <xf numFmtId="0" fontId="12" fillId="6" borderId="8" applyAlignment="1" pivotButton="0" quotePrefix="0" xfId="0">
      <alignment horizontal="center"/>
    </xf>
    <xf numFmtId="2" fontId="12" fillId="6" borderId="8" applyAlignment="1" pivotButton="0" quotePrefix="0" xfId="1">
      <alignment horizontal="center"/>
    </xf>
    <xf numFmtId="2" fontId="4" fillId="21" borderId="0" applyAlignment="1" pivotButton="0" quotePrefix="0" xfId="0">
      <alignment horizontal="center"/>
    </xf>
    <xf numFmtId="14" fontId="0" fillId="0" borderId="0" pivotButton="0" quotePrefix="0" xfId="0"/>
    <xf numFmtId="0" fontId="0" fillId="22" borderId="0" pivotButton="0" quotePrefix="0" xfId="0"/>
    <xf numFmtId="0" fontId="0" fillId="0" borderId="0" pivotButton="0" quotePrefix="1" xfId="0"/>
    <xf numFmtId="0" fontId="13" fillId="23" borderId="0" applyAlignment="1" pivotButton="0" quotePrefix="1" xfId="0">
      <alignment horizontal="left"/>
    </xf>
    <xf numFmtId="0" fontId="0" fillId="0" borderId="0" applyAlignment="1" pivotButton="0" quotePrefix="0" xfId="0">
      <alignment horizontal="left"/>
    </xf>
    <xf numFmtId="0" fontId="0" fillId="11" borderId="0" applyAlignment="1" pivotButton="0" quotePrefix="0" xfId="0">
      <alignment horizontal="center"/>
    </xf>
    <xf numFmtId="0" fontId="0" fillId="13" borderId="1" pivotButton="0" quotePrefix="0" xfId="0"/>
    <xf numFmtId="0" fontId="0" fillId="0" borderId="3" pivotButton="0" quotePrefix="0" xfId="0"/>
    <xf numFmtId="0" fontId="5" fillId="1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15" borderId="0" applyAlignment="1" pivotButton="0" quotePrefix="0" xfId="0">
      <alignment horizontal="center"/>
    </xf>
    <xf numFmtId="0" fontId="0" fillId="0" borderId="0" pivotButton="0" quotePrefix="0" xfId="0"/>
    <xf numFmtId="0" fontId="0" fillId="16" borderId="0" applyAlignment="1" pivotButton="0" quotePrefix="0" xfId="0">
      <alignment horizontal="center"/>
    </xf>
    <xf numFmtId="0" fontId="11" fillId="1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0" fillId="0" borderId="0" pivotButton="0" quotePrefix="0" xfId="1"/>
    <xf numFmtId="0" fontId="3" fillId="5" borderId="3" applyAlignment="1" pivotButton="0" quotePrefix="0" xfId="0">
      <alignment horizontal="center"/>
    </xf>
    <xf numFmtId="0" fontId="0" fillId="0" borderId="3" pivotButton="0" quotePrefix="0" xfId="0"/>
    <xf numFmtId="0" fontId="0" fillId="0" borderId="0" applyAlignment="1" pivotButton="0" quotePrefix="0" xfId="0">
      <alignment horizontal="center"/>
    </xf>
    <xf numFmtId="0" fontId="3" fillId="8" borderId="3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2" fontId="0" fillId="0" borderId="0" pivotButton="0" quotePrefix="0" xfId="0"/>
    <xf numFmtId="0" fontId="5" fillId="12" borderId="0" applyAlignment="1" pivotButton="0" quotePrefix="0" xfId="0">
      <alignment horizontal="center"/>
    </xf>
    <xf numFmtId="0" fontId="3" fillId="9" borderId="3" applyAlignment="1" pivotButton="0" quotePrefix="0" xfId="0">
      <alignment horizontal="center"/>
    </xf>
    <xf numFmtId="0" fontId="3" fillId="18" borderId="3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3" fillId="6" borderId="0" applyAlignment="1" pivotButton="0" quotePrefix="0" xfId="0">
      <alignment horizontal="center"/>
    </xf>
    <xf numFmtId="0" fontId="0" fillId="19" borderId="10" applyAlignment="1" pivotButton="0" quotePrefix="0" xfId="0">
      <alignment horizontal="center"/>
    </xf>
    <xf numFmtId="0" fontId="0" fillId="20" borderId="11" pivotButton="0" quotePrefix="0" xfId="0"/>
    <xf numFmtId="0" fontId="0" fillId="19" borderId="0" pivotButton="0" quotePrefix="0" xfId="0"/>
    <xf numFmtId="0" fontId="0" fillId="19" borderId="0" applyAlignment="1" pivotButton="0" quotePrefix="0" xfId="0">
      <alignment horizontal="right"/>
    </xf>
    <xf numFmtId="0" fontId="0" fillId="19" borderId="11" pivotButton="0" quotePrefix="0" xfId="0"/>
    <xf numFmtId="0" fontId="0" fillId="20" borderId="0" pivotButton="0" quotePrefix="0" xfId="0"/>
    <xf numFmtId="2" fontId="0" fillId="0" borderId="0" pivotButton="0" quotePrefix="0" xfId="0"/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[$$-409]* #,##0.00_);_([$$-409]* \(#,##0.00\);_([$$-409]* &quot;-&quot;??_);_(@_)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2" formatCode="0.00"/>
      <fill>
        <patternFill patternType="solid">
          <fgColor indexed="64"/>
          <bgColor rgb="FF1F4E78"/>
        </patternFill>
      </fill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TradeRadar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adeRada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blWatchlist" displayName="tblWatchlist" ref="A1:R36" headerRowCount="1" totalsRowShown="0" headerRowDxfId="53">
  <autoFilter ref="A1:R36"/>
  <tableColumns count="18">
    <tableColumn id="1" name="Symbol">
      <calculatedColumnFormula>Indicators!A2</calculatedColumnFormula>
    </tableColumn>
    <tableColumn id="2" name="Price" dataDxfId="52">
      <calculatedColumnFormula>Indicators!C2</calculatedColumnFormula>
    </tableColumn>
    <tableColumn id="6" name="RSI" dataDxfId="51">
      <calculatedColumnFormula>Indicators!G2</calculatedColumnFormula>
    </tableColumn>
    <tableColumn id="7" name="RVOL" dataDxfId="50">
      <calculatedColumnFormula>Indicators!H2</calculatedColumnFormula>
    </tableColumn>
    <tableColumn id="10" name="TrendScore" dataDxfId="49">
      <calculatedColumnFormula>Indicators!J2</calculatedColumnFormula>
    </tableColumn>
    <tableColumn id="11" name="Return3M" dataDxfId="48">
      <calculatedColumnFormula>Indicators!K2</calculatedColumnFormula>
    </tableColumn>
    <tableColumn id="12" name="Dist52High" dataDxfId="47">
      <calculatedColumnFormula>Indicators!L2</calculatedColumnFormula>
    </tableColumn>
    <tableColumn id="14" name="StopPrice" dataDxfId="46">
      <calculatedColumnFormula>B2-(Indicators!I2*1.5)</calculatedColumnFormula>
    </tableColumn>
    <tableColumn id="15" name="TargetPrice" dataDxfId="45">
      <calculatedColumnFormula>B2+(Indicators!I2*3)</calculatedColumnFormula>
    </tableColumn>
    <tableColumn id="16" name="RewardRisk" dataDxfId="44">
      <calculatedColumnFormula>(I2-B2)/(B2-H2)</calculatedColumnFormula>
    </tableColumn>
    <tableColumn id="18" name="AlphaScore" dataDxfId="43">
      <calculatedColumnFormula>(E2*0.5)+
(F2*0.2)+
((100+G2)*0.1)+
(MIN(J2,3)*10)</calculatedColumnFormula>
    </tableColumn>
    <tableColumn id="3" name="Rank" dataDxfId="42">
      <calculatedColumnFormula>RANK(K2,$K$2:$K$100,0)</calculatedColumnFormula>
    </tableColumn>
    <tableColumn id="19" name="Grade" dataDxfId="41">
      <calculatedColumnFormula>IF(K2&gt;=80,"A",
IF(K2&gt;=70,"B",
IF(K2&gt;=60,"C",
"F")))</calculatedColumnFormula>
    </tableColumn>
    <tableColumn id="20" name="Decision" dataDxfId="40">
      <calculatedColumnFormula>IF(K2&gt;=75,"BUY NOW",
IF(K2&gt;=60,"WATCH",
"AVOID"))</calculatedColumnFormula>
    </tableColumn>
    <tableColumn id="4" name="SMAScore" dataDxfId="39">
      <calculatedColumnFormula>(B2&gt;Indicators!D2)+
(B2&gt;Indicators!E2)+
(B2&gt;Indicators!F2)</calculatedColumnFormula>
    </tableColumn>
    <tableColumn id="5" name="Breakout?" dataDxfId="38">
      <calculatedColumnFormula>IF(
AND(
K2&gt;=80,
C2&gt;=50,
F2&gt;0
),
"YES",
"NO"
)</calculatedColumnFormula>
    </tableColumn>
    <tableColumn id="8" name="Pullback?" dataDxfId="37">
      <calculatedColumnFormula>IF(
AND(
B2&gt;Indicators!F2,
ABS(B2-Indicators!D2)/Indicators!D2&lt;0.03
),
"YES",
"NO"
)</calculatedColumnFormula>
    </tableColumn>
    <tableColumn id="9" name="PullbackScore" dataDxfId="36">
      <calculatedColumnFormula>IF(ABS(B2-Indicators!D2)/Indicators!D2&lt;0.02,40,0)
+
IF(B2&gt;Indicators!E2,30,0)
+
IF(B2&gt;Indicators!F2,30,0)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zoomScale="70" zoomScaleNormal="70" workbookViewId="0">
      <pane xSplit="1" topLeftCell="D1" activePane="topRight" state="frozen"/>
      <selection pane="topRight" activeCell="K2" sqref="K2"/>
    </sheetView>
  </sheetViews>
  <sheetFormatPr baseColWidth="8" defaultRowHeight="15"/>
  <cols>
    <col width="9.7109375" customWidth="1" style="63" min="1" max="1"/>
    <col width="11.85546875" bestFit="1" customWidth="1" style="63" min="2" max="2"/>
    <col width="12.140625" bestFit="1" customWidth="1" style="63" min="3" max="3"/>
    <col width="14.85546875" bestFit="1" customWidth="1" style="63" min="4" max="4"/>
    <col width="21.5703125" bestFit="1" customWidth="1" style="63" min="5" max="5"/>
    <col width="23.5703125" bestFit="1" customWidth="1" style="63" min="6" max="6"/>
    <col width="18.140625" bestFit="1" customWidth="1" style="63" min="7" max="7"/>
    <col width="22.140625" bestFit="1" customWidth="1" style="63" min="8" max="8"/>
    <col width="19.7109375" bestFit="1" customWidth="1" style="63" min="9" max="9"/>
    <col width="21.42578125" bestFit="1" customWidth="1" style="63" min="10" max="10"/>
    <col width="20" bestFit="1" customWidth="1" style="63" min="11" max="11"/>
    <col width="15.28515625" bestFit="1" customWidth="1" style="63" min="12" max="13"/>
    <col width="18.140625" bestFit="1" customWidth="1" style="63" min="14" max="14"/>
    <col width="20.140625" bestFit="1" customWidth="1" style="63" min="15" max="15"/>
    <col width="25.85546875" bestFit="1" customWidth="1" style="63" min="16" max="16"/>
    <col width="19.5703125" bestFit="1" customWidth="1" style="63" min="17" max="17"/>
    <col width="23.140625" bestFit="1" customWidth="1" style="63" min="18" max="18"/>
  </cols>
  <sheetData>
    <row r="1" customFormat="1" s="55">
      <c r="A1" s="6" t="inlineStr">
        <is>
          <t>Symbol</t>
        </is>
      </c>
      <c r="B1" s="6" t="inlineStr">
        <is>
          <t>Price</t>
        </is>
      </c>
      <c r="C1" s="6" t="inlineStr">
        <is>
          <t>RSI</t>
        </is>
      </c>
      <c r="D1" s="6" t="inlineStr">
        <is>
          <t>RVOL</t>
        </is>
      </c>
      <c r="E1" s="20" t="inlineStr">
        <is>
          <t>TrendScore</t>
        </is>
      </c>
      <c r="F1" s="20" t="inlineStr">
        <is>
          <t>Return3M</t>
        </is>
      </c>
      <c r="G1" s="20" t="inlineStr">
        <is>
          <t>Dist52High</t>
        </is>
      </c>
      <c r="H1" s="7" t="inlineStr">
        <is>
          <t>StopPrice</t>
        </is>
      </c>
      <c r="I1" s="7" t="inlineStr">
        <is>
          <t>TargetPrice</t>
        </is>
      </c>
      <c r="J1" s="7" t="inlineStr">
        <is>
          <t>RewardRisk</t>
        </is>
      </c>
      <c r="K1" s="7" t="inlineStr">
        <is>
          <t>AlphaScore</t>
        </is>
      </c>
      <c r="L1" s="33" t="inlineStr">
        <is>
          <t>Rank</t>
        </is>
      </c>
      <c r="M1" s="7" t="inlineStr">
        <is>
          <t>Grade</t>
        </is>
      </c>
      <c r="N1" s="7" t="inlineStr">
        <is>
          <t>Decision</t>
        </is>
      </c>
      <c r="O1" s="33" t="inlineStr">
        <is>
          <t>SMAScore</t>
        </is>
      </c>
      <c r="P1" s="33" t="inlineStr">
        <is>
          <t>Breakout?</t>
        </is>
      </c>
      <c r="Q1" s="33" t="inlineStr">
        <is>
          <t>Pullback?</t>
        </is>
      </c>
      <c r="R1" t="inlineStr">
        <is>
          <t>PullbackScore</t>
        </is>
      </c>
    </row>
    <row r="2" ht="16.5" customHeight="1" s="63">
      <c r="A2">
        <f>Indicators!A2</f>
        <v/>
      </c>
      <c r="B2" s="3">
        <f>Indicators!C2</f>
        <v/>
      </c>
      <c r="C2">
        <f>Indicators!G2</f>
        <v/>
      </c>
      <c r="D2">
        <f>Indicators!H2</f>
        <v/>
      </c>
      <c r="E2">
        <f>Indicators!J2</f>
        <v/>
      </c>
      <c r="F2">
        <f>Indicators!K2</f>
        <v/>
      </c>
      <c r="G2">
        <f>Indicators!L2</f>
        <v/>
      </c>
      <c r="H2" s="3">
        <f>B2-(Indicators!I2*1.5)</f>
        <v/>
      </c>
      <c r="I2" s="3">
        <f>B2+(Indicators!I2*3)</f>
        <v/>
      </c>
      <c r="J2" s="71">
        <f>(I2-B2)/(B2-H2)</f>
        <v/>
      </c>
      <c r="K2">
        <f>(E2*0.5)+
(F2*0.2)+
((100+G2)*0.1)+
(MIN(J2,3)*10)</f>
        <v/>
      </c>
      <c r="L2">
        <f>RANK(K2,$K$2:$K$100,0)</f>
        <v/>
      </c>
      <c r="M2">
        <f>IF(K2&gt;=80,"A",
IF(K2&gt;=70,"B",
IF(K2&gt;=60,"C",
"F")))</f>
        <v/>
      </c>
      <c r="N2">
        <f>IF(K2&gt;=75,"BUY NOW",
IF(K2&gt;=60,"WATCH",
"AVOID"))</f>
        <v/>
      </c>
      <c r="O2">
        <f>(B2&gt;Indicators!D2)+
(B2&gt;Indicators!E2)+
(B2&gt;Indicators!F2)</f>
        <v/>
      </c>
      <c r="P2">
        <f>IF(
AND(
K2&gt;=80,
C2&gt;=50,
F2&gt;0
),
"YES",
"NO"
)</f>
        <v/>
      </c>
      <c r="Q2">
        <f>IF(
AND(
B2&gt;Indicators!F2,
ABS(B2-Indicators!D2)/Indicators!D2&lt;0.03
),
"YES",
"NO"
)</f>
        <v/>
      </c>
      <c r="R2">
        <f>IF(ABS(B2-Indicators!D2)/Indicators!D2&lt;0.02,40,0)
+
IF(B2&gt;Indicators!E2,30,0)
+
IF(B2&gt;Indicators!F2,30,0)</f>
        <v/>
      </c>
    </row>
    <row r="3">
      <c r="A3">
        <f>Indicators!A3</f>
        <v/>
      </c>
      <c r="B3" s="3">
        <f>Indicators!C3</f>
        <v/>
      </c>
      <c r="C3">
        <f>Indicators!G3</f>
        <v/>
      </c>
      <c r="D3" s="4">
        <f>Indicators!H3</f>
        <v/>
      </c>
      <c r="E3">
        <f>Indicators!J3</f>
        <v/>
      </c>
      <c r="F3">
        <f>Indicators!K3</f>
        <v/>
      </c>
      <c r="G3">
        <f>Indicators!L3</f>
        <v/>
      </c>
      <c r="H3" s="3">
        <f>B3-(Indicators!I3*1.5)</f>
        <v/>
      </c>
      <c r="I3" s="3">
        <f>B3+(Indicators!I3*3)</f>
        <v/>
      </c>
      <c r="J3" s="71">
        <f>(I3-B3)/(B3-H3)</f>
        <v/>
      </c>
      <c r="K3">
        <f>(E3*0.5)+
(F3*0.2)+
((100+G3)*0.1)+
(MIN(J3,3)*10)</f>
        <v/>
      </c>
      <c r="L3">
        <f>RANK(K3,$K$2:$K$100,0)</f>
        <v/>
      </c>
      <c r="M3">
        <f>IF(K3&gt;=80,"A",
IF(K3&gt;=70,"B",
IF(K3&gt;=60,"C",
"F")))</f>
        <v/>
      </c>
      <c r="N3">
        <f>IF(K3&gt;=75,"BUY NOW",
IF(K3&gt;=60,"WATCH",
"AVOID"))</f>
        <v/>
      </c>
      <c r="O3">
        <f>(B3&gt;Indicators!D3)+
(B3&gt;Indicators!E3)+
(B3&gt;Indicators!F3)</f>
        <v/>
      </c>
      <c r="P3">
        <f>IF(
AND(
K3&gt;=80,
C3&gt;=50,
F3&gt;
0),
"YES",
"NO"
)</f>
        <v/>
      </c>
      <c r="Q3">
        <f>IF(
AND(
B3&gt;Indicators!F3,
ABS(B3-Indicators!D3)/Indicators!D3&lt;0.03
),
"YES",
"NO"
)</f>
        <v/>
      </c>
      <c r="R3">
        <f>IF(ABS(B3-Indicators!D3)/Indicators!D3&lt;0.02,40,0)
+
IF(B3&gt;Indicators!E3,30,0)
+
IF(B3&gt;Indicators!F3,30,0)</f>
        <v/>
      </c>
    </row>
    <row r="4">
      <c r="A4">
        <f>Indicators!A4</f>
        <v/>
      </c>
      <c r="B4" s="3">
        <f>Indicators!C4</f>
        <v/>
      </c>
      <c r="C4">
        <f>Indicators!G4</f>
        <v/>
      </c>
      <c r="D4" s="4">
        <f>Indicators!H4</f>
        <v/>
      </c>
      <c r="E4">
        <f>Indicators!J4</f>
        <v/>
      </c>
      <c r="F4">
        <f>Indicators!K4</f>
        <v/>
      </c>
      <c r="G4">
        <f>Indicators!L4</f>
        <v/>
      </c>
      <c r="H4" s="3">
        <f>B4-(Indicators!I4*1.5)</f>
        <v/>
      </c>
      <c r="I4" s="3">
        <f>B4+(Indicators!I4*3)</f>
        <v/>
      </c>
      <c r="J4" s="71">
        <f>(I4-B4)/(B4-H4)</f>
        <v/>
      </c>
      <c r="K4">
        <f>(E4*0.5)+
(F4*0.2)+
((100+G4)*0.1)+
(MIN(J4,3)*10)</f>
        <v/>
      </c>
      <c r="L4">
        <f>RANK(K4,$K$2:$K$100,0)</f>
        <v/>
      </c>
      <c r="M4">
        <f>IF(K4&gt;=80,"A",
IF(K4&gt;=70,"B",
IF(K4&gt;=60,"C",
"F")))</f>
        <v/>
      </c>
      <c r="N4">
        <f>IF(K4&gt;=75,"BUY NOW",
IF(K4&gt;=60,"WATCH",
"AVOID"))</f>
        <v/>
      </c>
      <c r="O4">
        <f>(B4&gt;Indicators!D4)+
(B4&gt;Indicators!E4)+
(B4&gt;Indicators!F4)</f>
        <v/>
      </c>
      <c r="P4">
        <f>IF(
AND(
K4&gt;=80,
C4&gt;=50,
F4&gt;
0),
"YES",
"NO"
)</f>
        <v/>
      </c>
      <c r="Q4">
        <f>IF(
AND(
B4&gt;Indicators!F4,
ABS(B4-Indicators!D4)/Indicators!D4&lt;0.03
),
"YES",
"NO"
)</f>
        <v/>
      </c>
      <c r="R4">
        <f>IF(ABS(B4-Indicators!D4)/Indicators!D4&lt;0.02,40,0)
+
IF(B4&gt;Indicators!E4,30,0)
+
IF(B4&gt;Indicators!F4,30,0)</f>
        <v/>
      </c>
    </row>
    <row r="5">
      <c r="A5">
        <f>Indicators!A5</f>
        <v/>
      </c>
      <c r="B5" s="3">
        <f>Indicators!C5</f>
        <v/>
      </c>
      <c r="C5">
        <f>Indicators!G5</f>
        <v/>
      </c>
      <c r="D5" s="4">
        <f>Indicators!H5</f>
        <v/>
      </c>
      <c r="E5">
        <f>Indicators!J5</f>
        <v/>
      </c>
      <c r="F5">
        <f>Indicators!K5</f>
        <v/>
      </c>
      <c r="G5">
        <f>Indicators!L5</f>
        <v/>
      </c>
      <c r="H5" s="3">
        <f>B5-(Indicators!I5*1.5)</f>
        <v/>
      </c>
      <c r="I5" s="3">
        <f>B5+(Indicators!I5*3)</f>
        <v/>
      </c>
      <c r="J5" s="71">
        <f>(I5-B5)/(B5-H5)</f>
        <v/>
      </c>
      <c r="K5">
        <f>(E5*0.5)+
(F5*0.2)+
((100+G5)*0.1)+
(MIN(J5,3)*10)</f>
        <v/>
      </c>
      <c r="L5">
        <f>RANK(K5,$K$2:$K$100,0)</f>
        <v/>
      </c>
      <c r="M5">
        <f>IF(K5&gt;=80,"A",
IF(K5&gt;=70,"B",
IF(K5&gt;=60,"C",
"F")))</f>
        <v/>
      </c>
      <c r="N5">
        <f>IF(K5&gt;=75,"BUY NOW",
IF(K5&gt;=60,"WATCH",
"AVOID"))</f>
        <v/>
      </c>
      <c r="O5">
        <f>(B5&gt;Indicators!D5)+
(B5&gt;Indicators!E5)+
(B5&gt;Indicators!F5)</f>
        <v/>
      </c>
      <c r="P5">
        <f>IF(
AND(
K5&gt;=80,
C5&gt;=50,
F5&gt;
0),
"YES",
"NO"
)</f>
        <v/>
      </c>
      <c r="Q5">
        <f>IF(
AND(
B5&gt;Indicators!F5,
ABS(B5-Indicators!D5)/Indicators!D5&lt;0.03
),
"YES",
"NO"
)</f>
        <v/>
      </c>
      <c r="R5">
        <f>IF(ABS(B5-Indicators!D5)/Indicators!D5&lt;0.02,40,0)
+
IF(B5&gt;Indicators!E5,30,0)
+
IF(B5&gt;Indicators!F5,30,0)</f>
        <v/>
      </c>
    </row>
    <row r="6">
      <c r="A6">
        <f>Indicators!A6</f>
        <v/>
      </c>
      <c r="B6" s="3">
        <f>Indicators!C6</f>
        <v/>
      </c>
      <c r="C6">
        <f>Indicators!G6</f>
        <v/>
      </c>
      <c r="D6" s="4">
        <f>Indicators!H6</f>
        <v/>
      </c>
      <c r="E6">
        <f>Indicators!J6</f>
        <v/>
      </c>
      <c r="F6">
        <f>Indicators!K6</f>
        <v/>
      </c>
      <c r="G6">
        <f>Indicators!L6</f>
        <v/>
      </c>
      <c r="H6" s="3">
        <f>B6-(Indicators!I6*1.5)</f>
        <v/>
      </c>
      <c r="I6" s="3">
        <f>B6+(Indicators!I6*3)</f>
        <v/>
      </c>
      <c r="J6" s="71">
        <f>(I6-B6)/(B6-H6)</f>
        <v/>
      </c>
      <c r="K6">
        <f>(E6*0.5)+
(F6*0.2)+
((100+G6)*0.1)+
(MIN(J6,3)*10)</f>
        <v/>
      </c>
      <c r="L6">
        <f>RANK(K6,$K$2:$K$100,0)</f>
        <v/>
      </c>
      <c r="M6">
        <f>IF(K6&gt;=80,"A",
IF(K6&gt;=70,"B",
IF(K6&gt;=60,"C",
"F")))</f>
        <v/>
      </c>
      <c r="N6">
        <f>IF(K6&gt;=75,"BUY NOW",
IF(K6&gt;=60,"WATCH",
"AVOID"))</f>
        <v/>
      </c>
      <c r="O6">
        <f>(B6&gt;Indicators!D6)+
(B6&gt;Indicators!E6)+
(B6&gt;Indicators!F6)</f>
        <v/>
      </c>
      <c r="P6">
        <f>IF(
AND(
K6&gt;=80,
C6&gt;=50,
F6&gt;
0),
"YES",
"NO"
)</f>
        <v/>
      </c>
      <c r="Q6">
        <f>IF(
AND(
B6&gt;Indicators!F6,
ABS(B6-Indicators!D6)/Indicators!D6&lt;0.03
),
"YES",
"NO"
)</f>
        <v/>
      </c>
      <c r="R6">
        <f>IF(ABS(B6-Indicators!D6)/Indicators!D6&lt;0.02,40,0)
+
IF(B6&gt;Indicators!E6,30,0)
+
IF(B6&gt;Indicators!F6,30,0)</f>
        <v/>
      </c>
    </row>
    <row r="7">
      <c r="A7">
        <f>Indicators!A7</f>
        <v/>
      </c>
      <c r="B7" s="3">
        <f>Indicators!C7</f>
        <v/>
      </c>
      <c r="C7">
        <f>Indicators!G7</f>
        <v/>
      </c>
      <c r="D7" s="4">
        <f>Indicators!H7</f>
        <v/>
      </c>
      <c r="E7">
        <f>Indicators!J7</f>
        <v/>
      </c>
      <c r="F7">
        <f>Indicators!K7</f>
        <v/>
      </c>
      <c r="G7">
        <f>Indicators!L7</f>
        <v/>
      </c>
      <c r="H7" s="3">
        <f>B7-(Indicators!I7*1.5)</f>
        <v/>
      </c>
      <c r="I7" s="3">
        <f>B7+(Indicators!I7*3)</f>
        <v/>
      </c>
      <c r="J7" s="71">
        <f>(I7-B7)/(B7-H7)</f>
        <v/>
      </c>
      <c r="K7">
        <f>(E7*0.5)+
(F7*0.2)+
((100+G7)*0.1)+
(MIN(J7,3)*10)</f>
        <v/>
      </c>
      <c r="L7">
        <f>RANK(K7,$K$2:$K$100,0)</f>
        <v/>
      </c>
      <c r="M7">
        <f>IF(K7&gt;=80,"A",
IF(K7&gt;=70,"B",
IF(K7&gt;=60,"C",
"F")))</f>
        <v/>
      </c>
      <c r="N7">
        <f>IF(K7&gt;=75,"BUY NOW",
IF(K7&gt;=60,"WATCH",
"AVOID"))</f>
        <v/>
      </c>
      <c r="O7">
        <f>(B7&gt;Indicators!D7)+
(B7&gt;Indicators!E7)+
(B7&gt;Indicators!F7)</f>
        <v/>
      </c>
      <c r="P7">
        <f>IF(
AND(
K7&gt;=80,
C7&gt;=50,
F7&gt;
0),
"YES",
"NO"
)</f>
        <v/>
      </c>
      <c r="Q7">
        <f>IF(
AND(
B7&gt;Indicators!F7,
ABS(B7-Indicators!D7)/Indicators!D7&lt;0.03
),
"YES",
"NO"
)</f>
        <v/>
      </c>
      <c r="R7">
        <f>IF(ABS(B7-Indicators!D7)/Indicators!D7&lt;0.02,40,0)
+
IF(B7&gt;Indicators!E7,30,0)
+
IF(B7&gt;Indicators!F7,30,0)</f>
        <v/>
      </c>
    </row>
    <row r="8">
      <c r="A8">
        <f>Indicators!A8</f>
        <v/>
      </c>
      <c r="B8" s="3">
        <f>Indicators!C8</f>
        <v/>
      </c>
      <c r="C8">
        <f>Indicators!G8</f>
        <v/>
      </c>
      <c r="D8" s="4">
        <f>Indicators!H8</f>
        <v/>
      </c>
      <c r="E8">
        <f>Indicators!J8</f>
        <v/>
      </c>
      <c r="F8">
        <f>Indicators!K8</f>
        <v/>
      </c>
      <c r="G8">
        <f>Indicators!L8</f>
        <v/>
      </c>
      <c r="H8" s="3">
        <f>B8-(Indicators!I8*1.5)</f>
        <v/>
      </c>
      <c r="I8" s="3">
        <f>B8+(Indicators!I8*3)</f>
        <v/>
      </c>
      <c r="J8" s="71">
        <f>(I8-B8)/(B8-H8)</f>
        <v/>
      </c>
      <c r="K8">
        <f>(E8*0.5)+
(F8*0.2)+
((100+G8)*0.1)+
(MIN(J8,3)*10)</f>
        <v/>
      </c>
      <c r="L8">
        <f>RANK(K8,$K$2:$K$100,0)</f>
        <v/>
      </c>
      <c r="M8">
        <f>IF(K8&gt;=80,"A",
IF(K8&gt;=70,"B",
IF(K8&gt;=60,"C",
"F")))</f>
        <v/>
      </c>
      <c r="N8">
        <f>IF(K8&gt;=75,"BUY NOW",
IF(K8&gt;=60,"WATCH",
"AVOID"))</f>
        <v/>
      </c>
      <c r="O8">
        <f>(B8&gt;Indicators!D8)+
(B8&gt;Indicators!E8)+
(B8&gt;Indicators!F8)</f>
        <v/>
      </c>
      <c r="P8">
        <f>IF(
AND(
K8&gt;=80,
C8&gt;=50,
F8&gt;
0),
"YES",
"NO"
)</f>
        <v/>
      </c>
      <c r="Q8">
        <f>IF(
AND(
B8&gt;Indicators!F8,
ABS(B8-Indicators!D8)/Indicators!D8&lt;0.03
),
"YES",
"NO"
)</f>
        <v/>
      </c>
      <c r="R8">
        <f>IF(ABS(B8-Indicators!D8)/Indicators!D8&lt;0.02,40,0)
+
IF(B8&gt;Indicators!E8,30,0)
+
IF(B8&gt;Indicators!F8,30,0)</f>
        <v/>
      </c>
    </row>
    <row r="9">
      <c r="A9">
        <f>Indicators!A9</f>
        <v/>
      </c>
      <c r="B9" s="3">
        <f>Indicators!C9</f>
        <v/>
      </c>
      <c r="C9">
        <f>Indicators!G9</f>
        <v/>
      </c>
      <c r="D9" s="4">
        <f>Indicators!H9</f>
        <v/>
      </c>
      <c r="E9">
        <f>Indicators!J9</f>
        <v/>
      </c>
      <c r="F9">
        <f>Indicators!K9</f>
        <v/>
      </c>
      <c r="G9">
        <f>Indicators!L9</f>
        <v/>
      </c>
      <c r="H9" s="3">
        <f>B9-(Indicators!I9*1.5)</f>
        <v/>
      </c>
      <c r="I9" s="3">
        <f>B9+(Indicators!I9*3)</f>
        <v/>
      </c>
      <c r="J9" s="71">
        <f>(I9-B9)/(B9-H9)</f>
        <v/>
      </c>
      <c r="K9">
        <f>(E9*0.5)+
(F9*0.2)+
((100+G9)*0.1)+
(MIN(J9,3)*10)</f>
        <v/>
      </c>
      <c r="L9">
        <f>RANK(K9,$K$2:$K$100,0)</f>
        <v/>
      </c>
      <c r="M9">
        <f>IF(K9&gt;=80,"A",
IF(K9&gt;=70,"B",
IF(K9&gt;=60,"C",
"F")))</f>
        <v/>
      </c>
      <c r="N9">
        <f>IF(K9&gt;=75,"BUY NOW",
IF(K9&gt;=60,"WATCH",
"AVOID"))</f>
        <v/>
      </c>
      <c r="O9">
        <f>(B9&gt;Indicators!D9)+
(B9&gt;Indicators!E9)+
(B9&gt;Indicators!F9)</f>
        <v/>
      </c>
      <c r="P9">
        <f>IF(
AND(
K9&gt;=80,
C9&gt;=50,
F9&gt;
0),
"YES",
"NO"
)</f>
        <v/>
      </c>
      <c r="Q9">
        <f>IF(
AND(
B9&gt;Indicators!F9,
ABS(B9-Indicators!D9)/Indicators!D9&lt;0.03
),
"YES",
"NO"
)</f>
        <v/>
      </c>
      <c r="R9">
        <f>IF(ABS(B9-Indicators!D9)/Indicators!D9&lt;0.02,40,0)
+
IF(B9&gt;Indicators!E9,30,0)
+
IF(B9&gt;Indicators!F9,30,0)</f>
        <v/>
      </c>
    </row>
    <row r="10">
      <c r="A10">
        <f>Indicators!A10</f>
        <v/>
      </c>
      <c r="B10" s="3">
        <f>Indicators!C10</f>
        <v/>
      </c>
      <c r="C10">
        <f>Indicators!G10</f>
        <v/>
      </c>
      <c r="D10" s="4">
        <f>Indicators!H10</f>
        <v/>
      </c>
      <c r="E10">
        <f>Indicators!J10</f>
        <v/>
      </c>
      <c r="F10">
        <f>Indicators!K10</f>
        <v/>
      </c>
      <c r="G10">
        <f>Indicators!L10</f>
        <v/>
      </c>
      <c r="H10" s="3">
        <f>B10-(Indicators!I10*1.5)</f>
        <v/>
      </c>
      <c r="I10" s="3">
        <f>B10+(Indicators!I10*3)</f>
        <v/>
      </c>
      <c r="J10" s="71">
        <f>(I10-B10)/(B10-H10)</f>
        <v/>
      </c>
      <c r="K10">
        <f>(E10*0.5)+
(F10*0.2)+
((100+G10)*0.1)+
(MIN(J10,3)*10)</f>
        <v/>
      </c>
      <c r="L10">
        <f>RANK(K10,$K$2:$K$100,0)</f>
        <v/>
      </c>
      <c r="M10">
        <f>IF(K10&gt;=80,"A",
IF(K10&gt;=70,"B",
IF(K10&gt;=60,"C",
"F")))</f>
        <v/>
      </c>
      <c r="N10">
        <f>IF(K10&gt;=75,"BUY NOW",
IF(K10&gt;=60,"WATCH",
"AVOID"))</f>
        <v/>
      </c>
      <c r="O10">
        <f>(B10&gt;Indicators!D10)+
(B10&gt;Indicators!E10)+
(B10&gt;Indicators!F10)</f>
        <v/>
      </c>
      <c r="P10">
        <f>IF(
AND(
K10&gt;=80,
C10&gt;=50,
F10&gt;
0),
"YES",
"NO"
)</f>
        <v/>
      </c>
      <c r="Q10">
        <f>IF(
AND(
B10&gt;Indicators!F10,
ABS(B10-Indicators!D10)/Indicators!D10&lt;0.03
),
"YES",
"NO"
)</f>
        <v/>
      </c>
      <c r="R10">
        <f>IF(ABS(B10-Indicators!D10)/Indicators!D10&lt;0.02,40,0)
+
IF(B10&gt;Indicators!E10,30,0)
+
IF(B10&gt;Indicators!F10,30,0)</f>
        <v/>
      </c>
    </row>
    <row r="11">
      <c r="A11">
        <f>Indicators!A11</f>
        <v/>
      </c>
      <c r="B11" s="3">
        <f>Indicators!C11</f>
        <v/>
      </c>
      <c r="C11">
        <f>Indicators!G11</f>
        <v/>
      </c>
      <c r="D11" s="4">
        <f>Indicators!H11</f>
        <v/>
      </c>
      <c r="E11">
        <f>Indicators!J11</f>
        <v/>
      </c>
      <c r="F11">
        <f>Indicators!K11</f>
        <v/>
      </c>
      <c r="G11">
        <f>Indicators!L11</f>
        <v/>
      </c>
      <c r="H11" s="3">
        <f>B11-(Indicators!I11*1.5)</f>
        <v/>
      </c>
      <c r="I11" s="3">
        <f>B11+(Indicators!I11*3)</f>
        <v/>
      </c>
      <c r="J11" s="71">
        <f>(I11-B11)/(B11-H11)</f>
        <v/>
      </c>
      <c r="K11">
        <f>(E11*0.5)+
(F11*0.2)+
((100+G11)*0.1)+
(MIN(J11,3)*10)</f>
        <v/>
      </c>
      <c r="L11">
        <f>RANK(K11,$K$2:$K$100,0)</f>
        <v/>
      </c>
      <c r="M11">
        <f>IF(K11&gt;=80,"A",
IF(K11&gt;=70,"B",
IF(K11&gt;=60,"C",
"F")))</f>
        <v/>
      </c>
      <c r="N11">
        <f>IF(K11&gt;=75,"BUY NOW",
IF(K11&gt;=60,"WATCH",
"AVOID"))</f>
        <v/>
      </c>
      <c r="O11">
        <f>(B11&gt;Indicators!D11)+
(B11&gt;Indicators!E11)+
(B11&gt;Indicators!F11)</f>
        <v/>
      </c>
      <c r="P11">
        <f>IF(
AND(
K11&gt;=80,
C11&gt;=50,
F11&gt;
0),
"YES",
"NO"
)</f>
        <v/>
      </c>
      <c r="Q11">
        <f>IF(
AND(
B11&gt;Indicators!F11,
ABS(B11-Indicators!D11)/Indicators!D11&lt;0.03
),
"YES",
"NO"
)</f>
        <v/>
      </c>
      <c r="R11">
        <f>IF(ABS(B11-Indicators!D11)/Indicators!D11&lt;0.02,40,0)
+
IF(B11&gt;Indicators!E11,30,0)
+
IF(B11&gt;Indicators!F11,30,0)</f>
        <v/>
      </c>
    </row>
    <row r="12">
      <c r="A12">
        <f>Indicators!A12</f>
        <v/>
      </c>
      <c r="B12" s="3">
        <f>Indicators!C12</f>
        <v/>
      </c>
      <c r="C12">
        <f>Indicators!G12</f>
        <v/>
      </c>
      <c r="D12" s="4">
        <f>Indicators!H12</f>
        <v/>
      </c>
      <c r="E12">
        <f>Indicators!J12</f>
        <v/>
      </c>
      <c r="F12">
        <f>Indicators!K12</f>
        <v/>
      </c>
      <c r="G12">
        <f>Indicators!L12</f>
        <v/>
      </c>
      <c r="H12" s="3">
        <f>B12-(Indicators!I12*1.5)</f>
        <v/>
      </c>
      <c r="I12" s="3">
        <f>B12+(Indicators!I12*3)</f>
        <v/>
      </c>
      <c r="J12" s="71">
        <f>(I12-B12)/(B12-H12)</f>
        <v/>
      </c>
      <c r="K12">
        <f>(E12*0.5)+
(F12*0.2)+
((100+G12)*0.1)+
(MIN(J12,3)*10)</f>
        <v/>
      </c>
      <c r="L12">
        <f>RANK(K12,$K$2:$K$100,0)</f>
        <v/>
      </c>
      <c r="M12">
        <f>IF(K12&gt;=80,"A",
IF(K12&gt;=70,"B",
IF(K12&gt;=60,"C",
"F")))</f>
        <v/>
      </c>
      <c r="N12">
        <f>IF(K12&gt;=75,"BUY NOW",
IF(K12&gt;=60,"WATCH",
"AVOID"))</f>
        <v/>
      </c>
      <c r="O12">
        <f>(B12&gt;Indicators!D12)+
(B12&gt;Indicators!E12)+
(B12&gt;Indicators!F12)</f>
        <v/>
      </c>
      <c r="P12">
        <f>IF(
AND(
K12&gt;=80,
C12&gt;=50,
F12&gt;
0),
"YES",
"NO"
)</f>
        <v/>
      </c>
      <c r="Q12">
        <f>IF(
AND(
B12&gt;Indicators!F12,
ABS(B12-Indicators!D12)/Indicators!D12&lt;0.03
),
"YES",
"NO"
)</f>
        <v/>
      </c>
      <c r="R12">
        <f>IF(ABS(B12-Indicators!D12)/Indicators!D12&lt;0.02,40,0)
+
IF(B12&gt;Indicators!E12,30,0)
+
IF(B12&gt;Indicators!F12,30,0)</f>
        <v/>
      </c>
    </row>
    <row r="13">
      <c r="A13">
        <f>Indicators!A13</f>
        <v/>
      </c>
      <c r="B13" s="3">
        <f>Indicators!C13</f>
        <v/>
      </c>
      <c r="C13">
        <f>Indicators!G13</f>
        <v/>
      </c>
      <c r="D13" s="4">
        <f>Indicators!H13</f>
        <v/>
      </c>
      <c r="E13">
        <f>Indicators!J13</f>
        <v/>
      </c>
      <c r="F13">
        <f>Indicators!K13</f>
        <v/>
      </c>
      <c r="G13">
        <f>Indicators!L13</f>
        <v/>
      </c>
      <c r="H13" s="3">
        <f>B13-(Indicators!I13*1.5)</f>
        <v/>
      </c>
      <c r="I13" s="3">
        <f>B13+(Indicators!I13*3)</f>
        <v/>
      </c>
      <c r="J13" s="71">
        <f>(I13-B13)/(B13-H13)</f>
        <v/>
      </c>
      <c r="K13">
        <f>(E13*0.5)+
(F13*0.2)+
((100+G13)*0.1)+
(MIN(J13,3)*10)</f>
        <v/>
      </c>
      <c r="L13">
        <f>RANK(K13,$K$2:$K$100,0)</f>
        <v/>
      </c>
      <c r="M13">
        <f>IF(K13&gt;=80,"A",
IF(K13&gt;=70,"B",
IF(K13&gt;=60,"C",
"F")))</f>
        <v/>
      </c>
      <c r="N13">
        <f>IF(K13&gt;=75,"BUY NOW",
IF(K13&gt;=60,"WATCH",
"AVOID"))</f>
        <v/>
      </c>
      <c r="O13">
        <f>(B13&gt;Indicators!D13)+
(B13&gt;Indicators!E13)+
(B13&gt;Indicators!F13)</f>
        <v/>
      </c>
      <c r="P13">
        <f>IF(
AND(
K13&gt;=80,
C13&gt;=50,
F13&gt;
0),
"YES",
"NO"
)</f>
        <v/>
      </c>
      <c r="Q13">
        <f>IF(
AND(
B13&gt;Indicators!F13,
ABS(B13-Indicators!D13)/Indicators!D13&lt;0.03
),
"YES",
"NO"
)</f>
        <v/>
      </c>
      <c r="R13">
        <f>IF(ABS(B13-Indicators!D13)/Indicators!D13&lt;0.02,40,0)
+
IF(B13&gt;Indicators!E13,30,0)
+
IF(B13&gt;Indicators!F13,30,0)</f>
        <v/>
      </c>
    </row>
    <row r="14">
      <c r="A14">
        <f>Indicators!A14</f>
        <v/>
      </c>
      <c r="B14" s="3">
        <f>Indicators!C14</f>
        <v/>
      </c>
      <c r="C14">
        <f>Indicators!G14</f>
        <v/>
      </c>
      <c r="D14" s="4">
        <f>Indicators!H14</f>
        <v/>
      </c>
      <c r="E14">
        <f>Indicators!J14</f>
        <v/>
      </c>
      <c r="F14">
        <f>Indicators!K14</f>
        <v/>
      </c>
      <c r="G14">
        <f>Indicators!L14</f>
        <v/>
      </c>
      <c r="H14" s="3">
        <f>B14-(Indicators!I14*1.5)</f>
        <v/>
      </c>
      <c r="I14" s="3">
        <f>B14+(Indicators!I14*3)</f>
        <v/>
      </c>
      <c r="J14" s="71">
        <f>(I14-B14)/(B14-H14)</f>
        <v/>
      </c>
      <c r="K14">
        <f>(E14*0.5)+
(F14*0.2)+
((100+G14)*0.1)+
(MIN(J14,3)*10)</f>
        <v/>
      </c>
      <c r="L14">
        <f>RANK(K14,$K$2:$K$100,0)</f>
        <v/>
      </c>
      <c r="M14">
        <f>IF(K14&gt;=80,"A",
IF(K14&gt;=70,"B",
IF(K14&gt;=60,"C",
"F")))</f>
        <v/>
      </c>
      <c r="N14">
        <f>IF(K14&gt;=75,"BUY NOW",
IF(K14&gt;=60,"WATCH",
"AVOID"))</f>
        <v/>
      </c>
      <c r="O14">
        <f>(B14&gt;Indicators!D14)+
(B14&gt;Indicators!E14)+
(B14&gt;Indicators!F14)</f>
        <v/>
      </c>
      <c r="P14">
        <f>IF(
AND(
K14&gt;=80,
C14&gt;=50,
F14&gt;
0),
"YES",
"NO"
)</f>
        <v/>
      </c>
      <c r="Q14">
        <f>IF(
AND(
B14&gt;Indicators!F14,
ABS(B14-Indicators!D14)/Indicators!D14&lt;0.03
),
"YES",
"NO"
)</f>
        <v/>
      </c>
      <c r="R14">
        <f>IF(ABS(B14-Indicators!D14)/Indicators!D14&lt;0.02,40,0)
+
IF(B14&gt;Indicators!E14,30,0)
+
IF(B14&gt;Indicators!F14,30,0)</f>
        <v/>
      </c>
    </row>
    <row r="15">
      <c r="A15">
        <f>Indicators!A15</f>
        <v/>
      </c>
      <c r="B15" s="3">
        <f>Indicators!C15</f>
        <v/>
      </c>
      <c r="C15">
        <f>Indicators!G15</f>
        <v/>
      </c>
      <c r="D15" s="4">
        <f>Indicators!H15</f>
        <v/>
      </c>
      <c r="E15">
        <f>Indicators!J15</f>
        <v/>
      </c>
      <c r="F15">
        <f>Indicators!K15</f>
        <v/>
      </c>
      <c r="G15">
        <f>Indicators!L15</f>
        <v/>
      </c>
      <c r="H15" s="3">
        <f>B15-(Indicators!I15*1.5)</f>
        <v/>
      </c>
      <c r="I15" s="3">
        <f>B15+(Indicators!I15*3)</f>
        <v/>
      </c>
      <c r="J15" s="71">
        <f>(I15-B15)/(B15-H15)</f>
        <v/>
      </c>
      <c r="K15">
        <f>(E15*0.5)+
(F15*0.2)+
((100+G15)*0.1)+
(MIN(J15,3)*10)</f>
        <v/>
      </c>
      <c r="L15">
        <f>RANK(K15,$K$2:$K$100,0)</f>
        <v/>
      </c>
      <c r="M15">
        <f>IF(K15&gt;=80,"A",
IF(K15&gt;=70,"B",
IF(K15&gt;=60,"C",
"F")))</f>
        <v/>
      </c>
      <c r="N15">
        <f>IF(K15&gt;=75,"BUY NOW",
IF(K15&gt;=60,"WATCH",
"AVOID"))</f>
        <v/>
      </c>
      <c r="O15">
        <f>(B15&gt;Indicators!D15)+
(B15&gt;Indicators!E15)+
(B15&gt;Indicators!F15)</f>
        <v/>
      </c>
      <c r="P15">
        <f>IF(
AND(
K15&gt;=80,
C15&gt;=50,
F15&gt;
0),
"YES",
"NO"
)</f>
        <v/>
      </c>
      <c r="Q15">
        <f>IF(
AND(
B15&gt;Indicators!F15,
ABS(B15-Indicators!D15)/Indicators!D15&lt;0.03
),
"YES",
"NO"
)</f>
        <v/>
      </c>
      <c r="R15">
        <f>IF(ABS(B15-Indicators!D15)/Indicators!D15&lt;0.02,40,0)
+
IF(B15&gt;Indicators!E15,30,0)
+
IF(B15&gt;Indicators!F15,30,0)</f>
        <v/>
      </c>
    </row>
    <row r="16">
      <c r="A16">
        <f>Indicators!A16</f>
        <v/>
      </c>
      <c r="B16" s="3">
        <f>Indicators!C16</f>
        <v/>
      </c>
      <c r="C16">
        <f>Indicators!G16</f>
        <v/>
      </c>
      <c r="D16" s="4">
        <f>Indicators!H16</f>
        <v/>
      </c>
      <c r="E16">
        <f>Indicators!J16</f>
        <v/>
      </c>
      <c r="F16">
        <f>Indicators!K16</f>
        <v/>
      </c>
      <c r="G16">
        <f>Indicators!L16</f>
        <v/>
      </c>
      <c r="H16" s="3">
        <f>B16-(Indicators!I16*1.5)</f>
        <v/>
      </c>
      <c r="I16" s="3">
        <f>B16+(Indicators!I16*3)</f>
        <v/>
      </c>
      <c r="J16" s="71">
        <f>(I16-B16)/(B16-H16)</f>
        <v/>
      </c>
      <c r="K16">
        <f>(E16*0.5)+
(F16*0.2)+
((100+G16)*0.1)+
(MIN(J16,3)*10)</f>
        <v/>
      </c>
      <c r="L16">
        <f>RANK(K16,$K$2:$K$100,0)</f>
        <v/>
      </c>
      <c r="M16">
        <f>IF(K16&gt;=80,"A",
IF(K16&gt;=70,"B",
IF(K16&gt;=60,"C",
"F")))</f>
        <v/>
      </c>
      <c r="N16">
        <f>IF(K16&gt;=75,"BUY NOW",
IF(K16&gt;=60,"WATCH",
"AVOID"))</f>
        <v/>
      </c>
      <c r="O16">
        <f>(B16&gt;Indicators!D16)+
(B16&gt;Indicators!E16)+
(B16&gt;Indicators!F16)</f>
        <v/>
      </c>
      <c r="P16">
        <f>IF(
AND(
K16&gt;=80,
C16&gt;=50,
F16&gt;
0),
"YES",
"NO"
)</f>
        <v/>
      </c>
      <c r="Q16">
        <f>IF(
AND(
B16&gt;Indicators!F16,
ABS(B16-Indicators!D16)/Indicators!D16&lt;0.03
),
"YES",
"NO"
)</f>
        <v/>
      </c>
      <c r="R16">
        <f>IF(ABS(B16-Indicators!D16)/Indicators!D16&lt;0.02,40,0)
+
IF(B16&gt;Indicators!E16,30,0)
+
IF(B16&gt;Indicators!F16,30,0)</f>
        <v/>
      </c>
    </row>
    <row r="17">
      <c r="A17">
        <f>Indicators!A17</f>
        <v/>
      </c>
      <c r="B17" s="3">
        <f>Indicators!C17</f>
        <v/>
      </c>
      <c r="C17">
        <f>Indicators!G17</f>
        <v/>
      </c>
      <c r="D17" s="4">
        <f>Indicators!H17</f>
        <v/>
      </c>
      <c r="E17">
        <f>Indicators!J17</f>
        <v/>
      </c>
      <c r="F17">
        <f>Indicators!K17</f>
        <v/>
      </c>
      <c r="G17">
        <f>Indicators!L17</f>
        <v/>
      </c>
      <c r="H17" s="3">
        <f>B17-(Indicators!I17*1.5)</f>
        <v/>
      </c>
      <c r="I17" s="3">
        <f>B17+(Indicators!I17*3)</f>
        <v/>
      </c>
      <c r="J17" s="71">
        <f>(I17-B17)/(B17-H17)</f>
        <v/>
      </c>
      <c r="K17">
        <f>(E17*0.5)+
(F17*0.2)+
((100+G17)*0.1)+
(MIN(J17,3)*10)</f>
        <v/>
      </c>
      <c r="L17">
        <f>RANK(K17,$K$2:$K$100,0)</f>
        <v/>
      </c>
      <c r="M17">
        <f>IF(K17&gt;=80,"A",
IF(K17&gt;=70,"B",
IF(K17&gt;=60,"C",
"F")))</f>
        <v/>
      </c>
      <c r="N17">
        <f>IF(K17&gt;=75,"BUY NOW",
IF(K17&gt;=60,"WATCH",
"AVOID"))</f>
        <v/>
      </c>
      <c r="O17">
        <f>(B17&gt;Indicators!D17)+
(B17&gt;Indicators!E17)+
(B17&gt;Indicators!F17)</f>
        <v/>
      </c>
      <c r="P17">
        <f>IF(
AND(
K17&gt;=80,
C17&gt;=50,
F17&gt;
0),
"YES",
"NO"
)</f>
        <v/>
      </c>
      <c r="Q17">
        <f>IF(
AND(
B17&gt;Indicators!F17,
ABS(B17-Indicators!D17)/Indicators!D17&lt;0.03
),
"YES",
"NO"
)</f>
        <v/>
      </c>
      <c r="R17">
        <f>IF(ABS(B17-Indicators!D17)/Indicators!D17&lt;0.02,40,0)
+
IF(B17&gt;Indicators!E17,30,0)
+
IF(B17&gt;Indicators!F17,30,0)</f>
        <v/>
      </c>
    </row>
    <row r="18">
      <c r="A18">
        <f>Indicators!A18</f>
        <v/>
      </c>
      <c r="B18" s="3">
        <f>Indicators!C18</f>
        <v/>
      </c>
      <c r="C18">
        <f>Indicators!G18</f>
        <v/>
      </c>
      <c r="D18" s="4">
        <f>Indicators!H18</f>
        <v/>
      </c>
      <c r="E18">
        <f>Indicators!J18</f>
        <v/>
      </c>
      <c r="F18">
        <f>Indicators!K18</f>
        <v/>
      </c>
      <c r="G18">
        <f>Indicators!L18</f>
        <v/>
      </c>
      <c r="H18" s="3">
        <f>B18-(Indicators!I18*1.5)</f>
        <v/>
      </c>
      <c r="I18" s="3">
        <f>B18+(Indicators!I18*3)</f>
        <v/>
      </c>
      <c r="J18" s="71">
        <f>(I18-B18)/(B18-H18)</f>
        <v/>
      </c>
      <c r="K18">
        <f>(E18*0.5)+
(F18*0.2)+
((100+G18)*0.1)+
(MIN(J18,3)*10)</f>
        <v/>
      </c>
      <c r="L18">
        <f>RANK(K18,$K$2:$K$100,0)</f>
        <v/>
      </c>
      <c r="M18">
        <f>IF(K18&gt;=80,"A",
IF(K18&gt;=70,"B",
IF(K18&gt;=60,"C",
"F")))</f>
        <v/>
      </c>
      <c r="N18">
        <f>IF(K18&gt;=75,"BUY NOW",
IF(K18&gt;=60,"WATCH",
"AVOID"))</f>
        <v/>
      </c>
      <c r="O18">
        <f>(B18&gt;Indicators!D18)+
(B18&gt;Indicators!E18)+
(B18&gt;Indicators!F18)</f>
        <v/>
      </c>
      <c r="P18">
        <f>IF(
AND(
K18&gt;=80,
C18&gt;=50,
F18&gt;
0),
"YES",
"NO"
)</f>
        <v/>
      </c>
      <c r="Q18">
        <f>IF(
AND(
B18&gt;Indicators!F18,
ABS(B18-Indicators!D18)/Indicators!D18&lt;0.03
),
"YES",
"NO"
)</f>
        <v/>
      </c>
      <c r="R18">
        <f>IF(ABS(B18-Indicators!D18)/Indicators!D18&lt;0.02,40,0)
+
IF(B18&gt;Indicators!E18,30,0)
+
IF(B18&gt;Indicators!F18,30,0)</f>
        <v/>
      </c>
    </row>
    <row r="19">
      <c r="A19">
        <f>Indicators!A19</f>
        <v/>
      </c>
      <c r="B19" s="3">
        <f>Indicators!C19</f>
        <v/>
      </c>
      <c r="C19">
        <f>Indicators!G19</f>
        <v/>
      </c>
      <c r="D19" s="4">
        <f>Indicators!H19</f>
        <v/>
      </c>
      <c r="E19">
        <f>Indicators!J19</f>
        <v/>
      </c>
      <c r="F19">
        <f>Indicators!K19</f>
        <v/>
      </c>
      <c r="G19">
        <f>Indicators!L19</f>
        <v/>
      </c>
      <c r="H19" s="3">
        <f>B19-(Indicators!I19*1.5)</f>
        <v/>
      </c>
      <c r="I19" s="3">
        <f>B19+(Indicators!I19*3)</f>
        <v/>
      </c>
      <c r="J19" s="71">
        <f>(I19-B19)/(B19-H19)</f>
        <v/>
      </c>
      <c r="K19">
        <f>(E19*0.5)+
(F19*0.2)+
((100+G19)*0.1)+
(MIN(J19,3)*10)</f>
        <v/>
      </c>
      <c r="L19">
        <f>RANK(K19,$K$2:$K$100,0)</f>
        <v/>
      </c>
      <c r="M19">
        <f>IF(K19&gt;=80,"A",
IF(K19&gt;=70,"B",
IF(K19&gt;=60,"C",
"F")))</f>
        <v/>
      </c>
      <c r="N19">
        <f>IF(K19&gt;=75,"BUY NOW",
IF(K19&gt;=60,"WATCH",
"AVOID"))</f>
        <v/>
      </c>
      <c r="O19">
        <f>(B19&gt;Indicators!D19)+
(B19&gt;Indicators!E19)+
(B19&gt;Indicators!F19)</f>
        <v/>
      </c>
      <c r="P19">
        <f>IF(
AND(
K19&gt;=80,
C19&gt;=50,
F19&gt;
0),
"YES",
"NO"
)</f>
        <v/>
      </c>
      <c r="Q19">
        <f>IF(
AND(
B19&gt;Indicators!F19,
ABS(B19-Indicators!D19)/Indicators!D19&lt;0.03
),
"YES",
"NO"
)</f>
        <v/>
      </c>
      <c r="R19">
        <f>IF(ABS(B19-Indicators!D19)/Indicators!D19&lt;0.02,40,0)
+
IF(B19&gt;Indicators!E19,30,0)
+
IF(B19&gt;Indicators!F19,30,0)</f>
        <v/>
      </c>
    </row>
    <row r="20">
      <c r="A20">
        <f>Indicators!A20</f>
        <v/>
      </c>
      <c r="B20" s="3">
        <f>Indicators!C20</f>
        <v/>
      </c>
      <c r="C20">
        <f>Indicators!G20</f>
        <v/>
      </c>
      <c r="D20" s="4">
        <f>Indicators!H20</f>
        <v/>
      </c>
      <c r="E20">
        <f>Indicators!J20</f>
        <v/>
      </c>
      <c r="F20">
        <f>Indicators!K20</f>
        <v/>
      </c>
      <c r="G20">
        <f>Indicators!L20</f>
        <v/>
      </c>
      <c r="H20" s="3">
        <f>B20-(Indicators!I20*1.5)</f>
        <v/>
      </c>
      <c r="I20" s="3">
        <f>B20+(Indicators!I20*3)</f>
        <v/>
      </c>
      <c r="J20" s="71">
        <f>(I20-B20)/(B20-H20)</f>
        <v/>
      </c>
      <c r="K20">
        <f>(E20*0.5)+
(F20*0.2)+
((100+G20)*0.1)+
(MIN(J20,3)*10)</f>
        <v/>
      </c>
      <c r="L20">
        <f>RANK(K20,$K$2:$K$100,0)</f>
        <v/>
      </c>
      <c r="M20">
        <f>IF(K20&gt;=80,"A",
IF(K20&gt;=70,"B",
IF(K20&gt;=60,"C",
"F")))</f>
        <v/>
      </c>
      <c r="N20">
        <f>IF(K20&gt;=75,"BUY NOW",
IF(K20&gt;=60,"WATCH",
"AVOID"))</f>
        <v/>
      </c>
      <c r="O20">
        <f>(B20&gt;Indicators!D20)+
(B20&gt;Indicators!E20)+
(B20&gt;Indicators!F20)</f>
        <v/>
      </c>
      <c r="P20">
        <f>IF(
AND(
K20&gt;=80,
C20&gt;=50,
F20&gt;
0),
"YES",
"NO"
)</f>
        <v/>
      </c>
      <c r="Q20">
        <f>IF(
AND(
B20&gt;Indicators!F20,
ABS(B20-Indicators!D20)/Indicators!D20&lt;0.03
),
"YES",
"NO"
)</f>
        <v/>
      </c>
      <c r="R20">
        <f>IF(ABS(B20-Indicators!D20)/Indicators!D20&lt;0.02,40,0)
+
IF(B20&gt;Indicators!E20,30,0)
+
IF(B20&gt;Indicators!F20,30,0)</f>
        <v/>
      </c>
    </row>
    <row r="21">
      <c r="A21">
        <f>Indicators!A21</f>
        <v/>
      </c>
      <c r="B21" s="3">
        <f>Indicators!C21</f>
        <v/>
      </c>
      <c r="C21">
        <f>Indicators!G21</f>
        <v/>
      </c>
      <c r="D21" s="4">
        <f>Indicators!H21</f>
        <v/>
      </c>
      <c r="E21">
        <f>Indicators!J21</f>
        <v/>
      </c>
      <c r="F21">
        <f>Indicators!K21</f>
        <v/>
      </c>
      <c r="G21">
        <f>Indicators!L21</f>
        <v/>
      </c>
      <c r="H21" s="3">
        <f>B21-(Indicators!I21*1.5)</f>
        <v/>
      </c>
      <c r="I21" s="3">
        <f>B21+(Indicators!I21*3)</f>
        <v/>
      </c>
      <c r="J21" s="71">
        <f>(I21-B21)/(B21-H21)</f>
        <v/>
      </c>
      <c r="K21">
        <f>(E21*0.5)+
(F21*0.2)+
((100+G21)*0.1)+
(MIN(J21,3)*10)</f>
        <v/>
      </c>
      <c r="L21">
        <f>RANK(K21,$K$2:$K$100,0)</f>
        <v/>
      </c>
      <c r="M21">
        <f>IF(K21&gt;=80,"A",
IF(K21&gt;=70,"B",
IF(K21&gt;=60,"C",
"F")))</f>
        <v/>
      </c>
      <c r="N21">
        <f>IF(K21&gt;=75,"BUY NOW",
IF(K21&gt;=60,"WATCH",
"AVOID"))</f>
        <v/>
      </c>
      <c r="O21">
        <f>(B21&gt;Indicators!D21)+
(B21&gt;Indicators!E21)+
(B21&gt;Indicators!F21)</f>
        <v/>
      </c>
      <c r="P21">
        <f>IF(
AND(
K21&gt;=80,
C21&gt;=50,
F21&gt;
0),
"YES",
"NO"
)</f>
        <v/>
      </c>
      <c r="Q21">
        <f>IF(
AND(
B21&gt;Indicators!F21,
ABS(B21-Indicators!D21)/Indicators!D21&lt;0.03
),
"YES",
"NO"
)</f>
        <v/>
      </c>
      <c r="R21">
        <f>IF(ABS(B21-Indicators!D21)/Indicators!D21&lt;0.02,40,0)
+
IF(B21&gt;Indicators!E21,30,0)
+
IF(B21&gt;Indicators!F21,30,0)</f>
        <v/>
      </c>
    </row>
    <row r="22">
      <c r="A22">
        <f>Indicators!A22</f>
        <v/>
      </c>
      <c r="B22" s="3">
        <f>Indicators!C22</f>
        <v/>
      </c>
      <c r="C22">
        <f>Indicators!G22</f>
        <v/>
      </c>
      <c r="D22" s="4">
        <f>Indicators!H22</f>
        <v/>
      </c>
      <c r="E22">
        <f>Indicators!J22</f>
        <v/>
      </c>
      <c r="F22">
        <f>Indicators!K22</f>
        <v/>
      </c>
      <c r="G22">
        <f>Indicators!L22</f>
        <v/>
      </c>
      <c r="H22" s="3">
        <f>B22-(Indicators!I22*1.5)</f>
        <v/>
      </c>
      <c r="I22" s="3">
        <f>B22+(Indicators!I22*3)</f>
        <v/>
      </c>
      <c r="J22" s="71">
        <f>(I22-B22)/(B22-H22)</f>
        <v/>
      </c>
      <c r="K22">
        <f>(E22*0.5)+
(F22*0.2)+
((100+G22)*0.1)+
(MIN(J22,3)*10)</f>
        <v/>
      </c>
      <c r="L22">
        <f>RANK(K22,$K$2:$K$100,0)</f>
        <v/>
      </c>
      <c r="M22">
        <f>IF(K22&gt;=80,"A",
IF(K22&gt;=70,"B",
IF(K22&gt;=60,"C",
"F")))</f>
        <v/>
      </c>
      <c r="N22">
        <f>IF(K22&gt;=75,"BUY NOW",
IF(K22&gt;=60,"WATCH",
"AVOID"))</f>
        <v/>
      </c>
      <c r="O22">
        <f>(B22&gt;Indicators!D22)+
(B22&gt;Indicators!E22)+
(B22&gt;Indicators!F22)</f>
        <v/>
      </c>
      <c r="P22">
        <f>IF(
AND(
K22&gt;=80,
C22&gt;=50,
F22&gt;
0),
"YES",
"NO"
)</f>
        <v/>
      </c>
      <c r="Q22">
        <f>IF(
AND(
B22&gt;Indicators!F22,
ABS(B22-Indicators!D22)/Indicators!D22&lt;0.03
),
"YES",
"NO"
)</f>
        <v/>
      </c>
      <c r="R22">
        <f>IF(ABS(B22-Indicators!D22)/Indicators!D22&lt;0.02,40,0)
+
IF(B22&gt;Indicators!E22,30,0)
+
IF(B22&gt;Indicators!F22,30,0)</f>
        <v/>
      </c>
    </row>
    <row r="23">
      <c r="A23">
        <f>Indicators!A23</f>
        <v/>
      </c>
      <c r="B23" s="3">
        <f>Indicators!C23</f>
        <v/>
      </c>
      <c r="C23">
        <f>Indicators!G23</f>
        <v/>
      </c>
      <c r="D23" s="4">
        <f>Indicators!H23</f>
        <v/>
      </c>
      <c r="E23">
        <f>Indicators!J23</f>
        <v/>
      </c>
      <c r="F23">
        <f>Indicators!K23</f>
        <v/>
      </c>
      <c r="G23">
        <f>Indicators!L23</f>
        <v/>
      </c>
      <c r="H23" s="3">
        <f>B23-(Indicators!I23*1.5)</f>
        <v/>
      </c>
      <c r="I23" s="3">
        <f>B23+(Indicators!I23*3)</f>
        <v/>
      </c>
      <c r="J23" s="71">
        <f>(I23-B23)/(B23-H23)</f>
        <v/>
      </c>
      <c r="K23">
        <f>(E23*0.5)+
(F23*0.2)+
((100+G23)*0.1)+
(MIN(J23,3)*10)</f>
        <v/>
      </c>
      <c r="L23">
        <f>RANK(K23,$K$2:$K$100,0)</f>
        <v/>
      </c>
      <c r="M23">
        <f>IF(K23&gt;=80,"A",
IF(K23&gt;=70,"B",
IF(K23&gt;=60,"C",
"F")))</f>
        <v/>
      </c>
      <c r="N23">
        <f>IF(K23&gt;=75,"BUY NOW",
IF(K23&gt;=60,"WATCH",
"AVOID"))</f>
        <v/>
      </c>
      <c r="O23">
        <f>(B23&gt;Indicators!D23)+
(B23&gt;Indicators!E23)+
(B23&gt;Indicators!F23)</f>
        <v/>
      </c>
      <c r="P23">
        <f>IF(
AND(
K23&gt;=80,
C23&gt;=50,
F23&gt;
0),
"YES",
"NO"
)</f>
        <v/>
      </c>
      <c r="Q23">
        <f>IF(
AND(
B23&gt;Indicators!F23,
ABS(B23-Indicators!D23)/Indicators!D23&lt;0.03
),
"YES",
"NO"
)</f>
        <v/>
      </c>
      <c r="R23">
        <f>IF(ABS(B23-Indicators!D23)/Indicators!D23&lt;0.02,40,0)
+
IF(B23&gt;Indicators!E23,30,0)
+
IF(B23&gt;Indicators!F23,30,0)</f>
        <v/>
      </c>
    </row>
    <row r="24">
      <c r="A24">
        <f>Indicators!A24</f>
        <v/>
      </c>
      <c r="B24" s="3">
        <f>Indicators!C24</f>
        <v/>
      </c>
      <c r="C24">
        <f>Indicators!G24</f>
        <v/>
      </c>
      <c r="D24" s="4">
        <f>Indicators!H24</f>
        <v/>
      </c>
      <c r="E24">
        <f>Indicators!J24</f>
        <v/>
      </c>
      <c r="F24">
        <f>Indicators!K24</f>
        <v/>
      </c>
      <c r="G24">
        <f>Indicators!L24</f>
        <v/>
      </c>
      <c r="H24" s="3">
        <f>B24-(Indicators!I24*1.5)</f>
        <v/>
      </c>
      <c r="I24" s="3">
        <f>B24+(Indicators!I24*3)</f>
        <v/>
      </c>
      <c r="J24" s="71">
        <f>(I24-B24)/(B24-H24)</f>
        <v/>
      </c>
      <c r="K24">
        <f>(E24*0.5)+
(F24*0.2)+
((100+G24)*0.1)+
(MIN(J24,3)*10)</f>
        <v/>
      </c>
      <c r="L24">
        <f>RANK(K24,$K$2:$K$100,0)</f>
        <v/>
      </c>
      <c r="M24">
        <f>IF(K24&gt;=80,"A",
IF(K24&gt;=70,"B",
IF(K24&gt;=60,"C",
"F")))</f>
        <v/>
      </c>
      <c r="N24">
        <f>IF(K24&gt;=75,"BUY NOW",
IF(K24&gt;=60,"WATCH",
"AVOID"))</f>
        <v/>
      </c>
      <c r="O24">
        <f>(B24&gt;Indicators!D24)+
(B24&gt;Indicators!E24)+
(B24&gt;Indicators!F24)</f>
        <v/>
      </c>
      <c r="P24">
        <f>IF(
AND(
K24&gt;=80,
C24&gt;=50,
F24&gt;
0),
"YES",
"NO"
)</f>
        <v/>
      </c>
      <c r="Q24">
        <f>IF(
AND(
B24&gt;Indicators!F24,
ABS(B24-Indicators!D24)/Indicators!D24&lt;0.03
),
"YES",
"NO"
)</f>
        <v/>
      </c>
      <c r="R24">
        <f>IF(ABS(B24-Indicators!D24)/Indicators!D24&lt;0.02,40,0)
+
IF(B24&gt;Indicators!E24,30,0)
+
IF(B24&gt;Indicators!F24,30,0)</f>
        <v/>
      </c>
    </row>
    <row r="25">
      <c r="A25">
        <f>Indicators!A25</f>
        <v/>
      </c>
      <c r="B25" s="3">
        <f>Indicators!C25</f>
        <v/>
      </c>
      <c r="C25">
        <f>Indicators!G25</f>
        <v/>
      </c>
      <c r="D25" s="4">
        <f>Indicators!H25</f>
        <v/>
      </c>
      <c r="E25">
        <f>Indicators!J25</f>
        <v/>
      </c>
      <c r="F25">
        <f>Indicators!K25</f>
        <v/>
      </c>
      <c r="G25">
        <f>Indicators!L25</f>
        <v/>
      </c>
      <c r="H25" s="3">
        <f>B25-(Indicators!I25*1.5)</f>
        <v/>
      </c>
      <c r="I25" s="3">
        <f>B25+(Indicators!I25*3)</f>
        <v/>
      </c>
      <c r="J25" s="71">
        <f>(I25-B25)/(B25-H25)</f>
        <v/>
      </c>
      <c r="K25">
        <f>(E25*0.5)+
(F25*0.2)+
((100+G25)*0.1)+
(MIN(J25,3)*10)</f>
        <v/>
      </c>
      <c r="L25">
        <f>RANK(K25,$K$2:$K$100,0)</f>
        <v/>
      </c>
      <c r="M25">
        <f>IF(K25&gt;=80,"A",
IF(K25&gt;=70,"B",
IF(K25&gt;=60,"C",
"F")))</f>
        <v/>
      </c>
      <c r="N25">
        <f>IF(K25&gt;=75,"BUY NOW",
IF(K25&gt;=60,"WATCH",
"AVOID"))</f>
        <v/>
      </c>
      <c r="O25">
        <f>(B25&gt;Indicators!D25)+
(B25&gt;Indicators!E25)+
(B25&gt;Indicators!F25)</f>
        <v/>
      </c>
      <c r="P25">
        <f>IF(
AND(
K25&gt;=80,
C25&gt;=50,
F25&gt;
0),
"YES",
"NO"
)</f>
        <v/>
      </c>
      <c r="Q25">
        <f>IF(
AND(
B25&gt;Indicators!F25,
ABS(B25-Indicators!D25)/Indicators!D25&lt;0.03
),
"YES",
"NO"
)</f>
        <v/>
      </c>
      <c r="R25">
        <f>IF(ABS(B25-Indicators!D25)/Indicators!D25&lt;0.02,40,0)
+
IF(B25&gt;Indicators!E25,30,0)
+
IF(B25&gt;Indicators!F25,30,0)</f>
        <v/>
      </c>
    </row>
    <row r="26">
      <c r="A26">
        <f>Indicators!A26</f>
        <v/>
      </c>
      <c r="B26" s="3">
        <f>Indicators!C26</f>
        <v/>
      </c>
      <c r="C26">
        <f>Indicators!G26</f>
        <v/>
      </c>
      <c r="D26" s="4">
        <f>Indicators!H26</f>
        <v/>
      </c>
      <c r="E26">
        <f>Indicators!J26</f>
        <v/>
      </c>
      <c r="F26">
        <f>Indicators!K26</f>
        <v/>
      </c>
      <c r="G26">
        <f>Indicators!L26</f>
        <v/>
      </c>
      <c r="H26" s="3">
        <f>B26-(Indicators!I26*1.5)</f>
        <v/>
      </c>
      <c r="I26" s="3">
        <f>B26+(Indicators!I26*3)</f>
        <v/>
      </c>
      <c r="J26" s="71">
        <f>(I26-B26)/(B26-H26)</f>
        <v/>
      </c>
      <c r="K26">
        <f>(E26*0.5)+
(F26*0.2)+
((100+G26)*0.1)+
(MIN(J26,3)*10)</f>
        <v/>
      </c>
      <c r="L26">
        <f>RANK(K26,$K$2:$K$100,0)</f>
        <v/>
      </c>
      <c r="M26">
        <f>IF(K26&gt;=80,"A",
IF(K26&gt;=70,"B",
IF(K26&gt;=60,"C",
"F")))</f>
        <v/>
      </c>
      <c r="N26">
        <f>IF(K26&gt;=75,"BUY NOW",
IF(K26&gt;=60,"WATCH",
"AVOID"))</f>
        <v/>
      </c>
      <c r="O26">
        <f>(B26&gt;Indicators!D26)+
(B26&gt;Indicators!E26)+
(B26&gt;Indicators!F26)</f>
        <v/>
      </c>
      <c r="P26">
        <f>IF(
AND(
K26&gt;=80,
C26&gt;=50,
F26&gt;
0),
"YES",
"NO"
)</f>
        <v/>
      </c>
      <c r="Q26">
        <f>IF(
AND(
B26&gt;Indicators!F26,
ABS(B26-Indicators!D26)/Indicators!D26&lt;0.03
),
"YES",
"NO"
)</f>
        <v/>
      </c>
      <c r="R26">
        <f>IF(ABS(B26-Indicators!D26)/Indicators!D26&lt;0.02,40,0)
+
IF(B26&gt;Indicators!E26,30,0)
+
IF(B26&gt;Indicators!F26,30,0)</f>
        <v/>
      </c>
    </row>
    <row r="27">
      <c r="A27">
        <f>Indicators!A27</f>
        <v/>
      </c>
      <c r="B27" s="3">
        <f>Indicators!C27</f>
        <v/>
      </c>
      <c r="C27">
        <f>Indicators!G27</f>
        <v/>
      </c>
      <c r="D27" s="4">
        <f>Indicators!H27</f>
        <v/>
      </c>
      <c r="E27">
        <f>Indicators!J27</f>
        <v/>
      </c>
      <c r="F27">
        <f>Indicators!K27</f>
        <v/>
      </c>
      <c r="G27">
        <f>Indicators!L27</f>
        <v/>
      </c>
      <c r="H27" s="3">
        <f>B27-(Indicators!I27*1.5)</f>
        <v/>
      </c>
      <c r="I27" s="3">
        <f>B27+(Indicators!I27*3)</f>
        <v/>
      </c>
      <c r="J27" s="71">
        <f>(I27-B27)/(B27-H27)</f>
        <v/>
      </c>
      <c r="K27">
        <f>(E27*0.5)+
(F27*0.2)+
((100+G27)*0.1)+
(MIN(J27,3)*10)</f>
        <v/>
      </c>
      <c r="L27">
        <f>RANK(K27,$K$2:$K$100,0)</f>
        <v/>
      </c>
      <c r="M27">
        <f>IF(K27&gt;=80,"A",
IF(K27&gt;=70,"B",
IF(K27&gt;=60,"C",
"F")))</f>
        <v/>
      </c>
      <c r="N27">
        <f>IF(K27&gt;=75,"BUY NOW",
IF(K27&gt;=60,"WATCH",
"AVOID"))</f>
        <v/>
      </c>
      <c r="O27">
        <f>(B27&gt;Indicators!D27)+
(B27&gt;Indicators!E27)+
(B27&gt;Indicators!F27)</f>
        <v/>
      </c>
      <c r="P27">
        <f>IF(
AND(
K27&gt;=80,
C27&gt;=50,
F27&gt;
0),
"YES",
"NO"
)</f>
        <v/>
      </c>
      <c r="Q27">
        <f>IF(
AND(
B27&gt;Indicators!F27,
ABS(B27-Indicators!D27)/Indicators!D27&lt;0.03
),
"YES",
"NO"
)</f>
        <v/>
      </c>
      <c r="R27">
        <f>IF(ABS(B27-Indicators!D27)/Indicators!D27&lt;0.02,40,0)
+
IF(B27&gt;Indicators!E27,30,0)
+
IF(B27&gt;Indicators!F27,30,0)</f>
        <v/>
      </c>
    </row>
    <row r="28">
      <c r="A28">
        <f>Indicators!A28</f>
        <v/>
      </c>
      <c r="B28" s="3">
        <f>Indicators!C28</f>
        <v/>
      </c>
      <c r="C28">
        <f>Indicators!G28</f>
        <v/>
      </c>
      <c r="D28" s="4">
        <f>Indicators!H28</f>
        <v/>
      </c>
      <c r="E28">
        <f>Indicators!J28</f>
        <v/>
      </c>
      <c r="F28">
        <f>Indicators!K28</f>
        <v/>
      </c>
      <c r="G28">
        <f>Indicators!L28</f>
        <v/>
      </c>
      <c r="H28" s="3">
        <f>B28-(Indicators!I28*1.5)</f>
        <v/>
      </c>
      <c r="I28" s="3">
        <f>B28+(Indicators!I28*3)</f>
        <v/>
      </c>
      <c r="J28" s="71">
        <f>(I28-B28)/(B28-H28)</f>
        <v/>
      </c>
      <c r="K28">
        <f>(E28*0.5)+
(F28*0.2)+
((100+G28)*0.1)+
(MIN(J28,3)*10)</f>
        <v/>
      </c>
      <c r="L28">
        <f>RANK(K28,$K$2:$K$100,0)</f>
        <v/>
      </c>
      <c r="M28">
        <f>IF(K28&gt;=80,"A",
IF(K28&gt;=70,"B",
IF(K28&gt;=60,"C",
"F")))</f>
        <v/>
      </c>
      <c r="N28">
        <f>IF(K28&gt;=75,"BUY NOW",
IF(K28&gt;=60,"WATCH",
"AVOID"))</f>
        <v/>
      </c>
      <c r="O28">
        <f>(B28&gt;Indicators!D28)+
(B28&gt;Indicators!E28)+
(B28&gt;Indicators!F28)</f>
        <v/>
      </c>
      <c r="P28">
        <f>IF(
AND(
K28&gt;=80,
C28&gt;=50,
F28&gt;
0),
"YES",
"NO"
)</f>
        <v/>
      </c>
      <c r="Q28">
        <f>IF(
AND(
B28&gt;Indicators!F28,
ABS(B28-Indicators!D28)/Indicators!D28&lt;0.03
),
"YES",
"NO"
)</f>
        <v/>
      </c>
      <c r="R28">
        <f>IF(ABS(B28-Indicators!D28)/Indicators!D28&lt;0.02,40,0)
+
IF(B28&gt;Indicators!E28,30,0)
+
IF(B28&gt;Indicators!F28,30,0)</f>
        <v/>
      </c>
    </row>
    <row r="29">
      <c r="A29">
        <f>Indicators!A29</f>
        <v/>
      </c>
      <c r="B29" s="3">
        <f>Indicators!C29</f>
        <v/>
      </c>
      <c r="C29">
        <f>Indicators!G29</f>
        <v/>
      </c>
      <c r="D29" s="4">
        <f>Indicators!H29</f>
        <v/>
      </c>
      <c r="E29">
        <f>Indicators!J29</f>
        <v/>
      </c>
      <c r="F29">
        <f>Indicators!K29</f>
        <v/>
      </c>
      <c r="G29">
        <f>Indicators!L29</f>
        <v/>
      </c>
      <c r="H29" s="3">
        <f>B29-(Indicators!I29*1.5)</f>
        <v/>
      </c>
      <c r="I29" s="3">
        <f>B29+(Indicators!I29*3)</f>
        <v/>
      </c>
      <c r="J29" s="71">
        <f>(I29-B29)/(B29-H29)</f>
        <v/>
      </c>
      <c r="K29">
        <f>(E29*0.5)+
(F29*0.2)+
((100+G29)*0.1)+
(MIN(J29,3)*10)</f>
        <v/>
      </c>
      <c r="L29">
        <f>RANK(K29,$K$2:$K$100,0)</f>
        <v/>
      </c>
      <c r="M29">
        <f>IF(K29&gt;=80,"A",
IF(K29&gt;=70,"B",
IF(K29&gt;=60,"C",
"F")))</f>
        <v/>
      </c>
      <c r="N29">
        <f>IF(K29&gt;=75,"BUY NOW",
IF(K29&gt;=60,"WATCH",
"AVOID"))</f>
        <v/>
      </c>
      <c r="O29">
        <f>(B29&gt;Indicators!D29)+
(B29&gt;Indicators!E29)+
(B29&gt;Indicators!F29)</f>
        <v/>
      </c>
      <c r="P29">
        <f>IF(
AND(
K29&gt;=80,
C29&gt;=50,
F29&gt;
0),
"YES",
"NO"
)</f>
        <v/>
      </c>
      <c r="Q29">
        <f>IF(
AND(
B29&gt;Indicators!F29,
ABS(B29-Indicators!D29)/Indicators!D29&lt;0.03
),
"YES",
"NO"
)</f>
        <v/>
      </c>
      <c r="R29">
        <f>IF(ABS(B29-Indicators!D29)/Indicators!D29&lt;0.02,40,0)
+
IF(B29&gt;Indicators!E29,30,0)
+
IF(B29&gt;Indicators!F29,30,0)</f>
        <v/>
      </c>
    </row>
    <row r="30">
      <c r="A30">
        <f>Indicators!A30</f>
        <v/>
      </c>
      <c r="B30" s="3">
        <f>Indicators!C30</f>
        <v/>
      </c>
      <c r="C30">
        <f>Indicators!G30</f>
        <v/>
      </c>
      <c r="D30" s="4">
        <f>Indicators!H30</f>
        <v/>
      </c>
      <c r="E30">
        <f>Indicators!J30</f>
        <v/>
      </c>
      <c r="F30">
        <f>Indicators!K30</f>
        <v/>
      </c>
      <c r="G30">
        <f>Indicators!L30</f>
        <v/>
      </c>
      <c r="H30" s="3">
        <f>B30-(Indicators!I30*1.5)</f>
        <v/>
      </c>
      <c r="I30" s="3">
        <f>B30+(Indicators!I30*3)</f>
        <v/>
      </c>
      <c r="J30" s="71">
        <f>(I30-B30)/(B30-H30)</f>
        <v/>
      </c>
      <c r="K30">
        <f>(E30*0.5)+
(F30*0.2)+
((100+G30)*0.1)+
(MIN(J30,3)*10)</f>
        <v/>
      </c>
      <c r="L30">
        <f>RANK(K30,$K$2:$K$100,0)</f>
        <v/>
      </c>
      <c r="M30">
        <f>IF(K30&gt;=80,"A",
IF(K30&gt;=70,"B",
IF(K30&gt;=60,"C",
"F")))</f>
        <v/>
      </c>
      <c r="N30">
        <f>IF(K30&gt;=75,"BUY NOW",
IF(K30&gt;=60,"WATCH",
"AVOID"))</f>
        <v/>
      </c>
      <c r="O30">
        <f>(B30&gt;Indicators!D30)+
(B30&gt;Indicators!E30)+
(B30&gt;Indicators!F30)</f>
        <v/>
      </c>
      <c r="P30">
        <f>IF(
AND(
K30&gt;=80,
C30&gt;=50,
F30&gt;
0),
"YES",
"NO"
)</f>
        <v/>
      </c>
      <c r="Q30">
        <f>IF(
AND(
B30&gt;Indicators!F30,
ABS(B30-Indicators!D30)/Indicators!D30&lt;0.03
),
"YES",
"NO"
)</f>
        <v/>
      </c>
      <c r="R30">
        <f>IF(ABS(B30-Indicators!D30)/Indicators!D30&lt;0.02,40,0)
+
IF(B30&gt;Indicators!E30,30,0)
+
IF(B30&gt;Indicators!F30,30,0)</f>
        <v/>
      </c>
    </row>
    <row r="31">
      <c r="A31">
        <f>Indicators!A31</f>
        <v/>
      </c>
      <c r="B31" s="3">
        <f>Indicators!C31</f>
        <v/>
      </c>
      <c r="C31">
        <f>Indicators!G31</f>
        <v/>
      </c>
      <c r="D31" s="4">
        <f>Indicators!H31</f>
        <v/>
      </c>
      <c r="E31">
        <f>Indicators!J31</f>
        <v/>
      </c>
      <c r="F31">
        <f>Indicators!K31</f>
        <v/>
      </c>
      <c r="G31">
        <f>Indicators!L31</f>
        <v/>
      </c>
      <c r="H31" s="3">
        <f>B31-(Indicators!I31*1.5)</f>
        <v/>
      </c>
      <c r="I31" s="3">
        <f>B31+(Indicators!I31*3)</f>
        <v/>
      </c>
      <c r="J31" s="71">
        <f>(I31-B31)/(B31-H31)</f>
        <v/>
      </c>
      <c r="K31">
        <f>(E31*0.5)+
(F31*0.2)+
((100+G31)*0.1)+
(MIN(J31,3)*10)</f>
        <v/>
      </c>
      <c r="L31">
        <f>RANK(K31,$K$2:$K$100,0)</f>
        <v/>
      </c>
      <c r="M31">
        <f>IF(K31&gt;=80,"A",
IF(K31&gt;=70,"B",
IF(K31&gt;=60,"C",
"F")))</f>
        <v/>
      </c>
      <c r="N31">
        <f>IF(K31&gt;=75,"BUY NOW",
IF(K31&gt;=60,"WATCH",
"AVOID"))</f>
        <v/>
      </c>
      <c r="O31">
        <f>(B31&gt;Indicators!D31)+
(B31&gt;Indicators!E31)+
(B31&gt;Indicators!F31)</f>
        <v/>
      </c>
      <c r="P31">
        <f>IF(
AND(
K31&gt;=80,
C31&gt;=50,
F31&gt;
0),
"YES",
"NO"
)</f>
        <v/>
      </c>
      <c r="Q31">
        <f>IF(
AND(
B31&gt;Indicators!F31,
ABS(B31-Indicators!D31)/Indicators!D31&lt;0.03
),
"YES",
"NO"
)</f>
        <v/>
      </c>
      <c r="R31">
        <f>IF(ABS(B31-Indicators!D31)/Indicators!D31&lt;0.02,40,0)
+
IF(B31&gt;Indicators!E31,30,0)
+
IF(B31&gt;Indicators!F31,30,0)</f>
        <v/>
      </c>
    </row>
    <row r="32">
      <c r="A32">
        <f>Indicators!A32</f>
        <v/>
      </c>
      <c r="B32" s="3">
        <f>Indicators!C32</f>
        <v/>
      </c>
      <c r="C32">
        <f>Indicators!G32</f>
        <v/>
      </c>
      <c r="D32" s="4">
        <f>Indicators!H32</f>
        <v/>
      </c>
      <c r="E32">
        <f>Indicators!J32</f>
        <v/>
      </c>
      <c r="F32">
        <f>Indicators!K32</f>
        <v/>
      </c>
      <c r="G32">
        <f>Indicators!L32</f>
        <v/>
      </c>
      <c r="H32" s="3">
        <f>B32-(Indicators!I32*1.5)</f>
        <v/>
      </c>
      <c r="I32" s="3">
        <f>B32+(Indicators!I32*3)</f>
        <v/>
      </c>
      <c r="J32" s="71">
        <f>(I32-B32)/(B32-H32)</f>
        <v/>
      </c>
      <c r="K32">
        <f>(E32*0.5)+
(F32*0.2)+
((100+G32)*0.1)+
(MIN(J32,3)*10)</f>
        <v/>
      </c>
      <c r="L32">
        <f>RANK(K32,$K$2:$K$100,0)</f>
        <v/>
      </c>
      <c r="M32">
        <f>IF(K32&gt;=80,"A",
IF(K32&gt;=70,"B",
IF(K32&gt;=60,"C",
"F")))</f>
        <v/>
      </c>
      <c r="N32">
        <f>IF(K32&gt;=75,"BUY NOW",
IF(K32&gt;=60,"WATCH",
"AVOID"))</f>
        <v/>
      </c>
      <c r="O32">
        <f>(B32&gt;Indicators!D32)+
(B32&gt;Indicators!E32)+
(B32&gt;Indicators!F32)</f>
        <v/>
      </c>
      <c r="P32">
        <f>IF(
AND(
K32&gt;=80,
C32&gt;=50,
F32&gt;
0),
"YES",
"NO"
)</f>
        <v/>
      </c>
      <c r="Q32">
        <f>IF(
AND(
B32&gt;Indicators!F32,
ABS(B32-Indicators!D32)/Indicators!D32&lt;0.03
),
"YES",
"NO"
)</f>
        <v/>
      </c>
      <c r="R32">
        <f>IF(ABS(B32-Indicators!D32)/Indicators!D32&lt;0.02,40,0)
+
IF(B32&gt;Indicators!E32,30,0)
+
IF(B32&gt;Indicators!F32,30,0)</f>
        <v/>
      </c>
    </row>
    <row r="33">
      <c r="A33">
        <f>Indicators!A33</f>
        <v/>
      </c>
      <c r="B33" s="3">
        <f>Indicators!C33</f>
        <v/>
      </c>
      <c r="C33">
        <f>Indicators!G33</f>
        <v/>
      </c>
      <c r="D33" s="4">
        <f>Indicators!H33</f>
        <v/>
      </c>
      <c r="E33">
        <f>Indicators!J33</f>
        <v/>
      </c>
      <c r="F33">
        <f>Indicators!K33</f>
        <v/>
      </c>
      <c r="G33">
        <f>Indicators!L33</f>
        <v/>
      </c>
      <c r="H33" s="3">
        <f>B33-(Indicators!I33*1.5)</f>
        <v/>
      </c>
      <c r="I33" s="3">
        <f>B33+(Indicators!I33*3)</f>
        <v/>
      </c>
      <c r="J33" s="71">
        <f>(I33-B33)/(B33-H33)</f>
        <v/>
      </c>
      <c r="K33">
        <f>(E33*0.5)+
(F33*0.2)+
((100+G33)*0.1)+
(MIN(J33,3)*10)</f>
        <v/>
      </c>
      <c r="L33">
        <f>RANK(K33,$K$2:$K$100,0)</f>
        <v/>
      </c>
      <c r="M33">
        <f>IF(K33&gt;=80,"A",
IF(K33&gt;=70,"B",
IF(K33&gt;=60,"C",
"F")))</f>
        <v/>
      </c>
      <c r="N33">
        <f>IF(K33&gt;=75,"BUY NOW",
IF(K33&gt;=60,"WATCH",
"AVOID"))</f>
        <v/>
      </c>
      <c r="O33">
        <f>(B33&gt;Indicators!D33)+
(B33&gt;Indicators!E33)+
(B33&gt;Indicators!F33)</f>
        <v/>
      </c>
      <c r="P33">
        <f>IF(
AND(
K33&gt;=80,
C33&gt;=50,
F33&gt;
0),
"YES",
"NO"
)</f>
        <v/>
      </c>
      <c r="Q33">
        <f>IF(
AND(
B33&gt;Indicators!F33,
ABS(B33-Indicators!D33)/Indicators!D33&lt;0.03
),
"YES",
"NO"
)</f>
        <v/>
      </c>
      <c r="R33">
        <f>IF(ABS(B33-Indicators!D33)/Indicators!D33&lt;0.02,40,0)
+
IF(B33&gt;Indicators!E33,30,0)
+
IF(B33&gt;Indicators!F33,30,0)</f>
        <v/>
      </c>
    </row>
    <row r="34">
      <c r="A34">
        <f>Indicators!A34</f>
        <v/>
      </c>
      <c r="B34" s="3">
        <f>Indicators!C34</f>
        <v/>
      </c>
      <c r="C34">
        <f>Indicators!G34</f>
        <v/>
      </c>
      <c r="D34" s="4">
        <f>Indicators!H34</f>
        <v/>
      </c>
      <c r="E34">
        <f>Indicators!J34</f>
        <v/>
      </c>
      <c r="F34">
        <f>Indicators!K34</f>
        <v/>
      </c>
      <c r="G34">
        <f>Indicators!L34</f>
        <v/>
      </c>
      <c r="H34" s="3">
        <f>B34-(Indicators!I34*1.5)</f>
        <v/>
      </c>
      <c r="I34" s="3">
        <f>B34+(Indicators!I34*3)</f>
        <v/>
      </c>
      <c r="J34" s="71">
        <f>(I34-B34)/(B34-H34)</f>
        <v/>
      </c>
      <c r="K34">
        <f>(E34*0.5)+
(F34*0.2)+
((100+G34)*0.1)+
(MIN(J34,3)*10)</f>
        <v/>
      </c>
      <c r="L34">
        <f>RANK(K34,$K$2:$K$100,0)</f>
        <v/>
      </c>
      <c r="M34">
        <f>IF(K34&gt;=80,"A",
IF(K34&gt;=70,"B",
IF(K34&gt;=60,"C",
"F")))</f>
        <v/>
      </c>
      <c r="N34">
        <f>IF(K34&gt;=75,"BUY NOW",
IF(K34&gt;=60,"WATCH",
"AVOID"))</f>
        <v/>
      </c>
      <c r="O34">
        <f>(B34&gt;Indicators!D34)+
(B34&gt;Indicators!E34)+
(B34&gt;Indicators!F34)</f>
        <v/>
      </c>
      <c r="P34">
        <f>IF(
AND(
K34&gt;=80,
C34&gt;=50,
F34&gt;
0),
"YES",
"NO"
)</f>
        <v/>
      </c>
      <c r="Q34">
        <f>IF(
AND(
B34&gt;Indicators!F34,
ABS(B34-Indicators!D34)/Indicators!D34&lt;0.03
),
"YES",
"NO"
)</f>
        <v/>
      </c>
      <c r="R34">
        <f>IF(ABS(B34-Indicators!D34)/Indicators!D34&lt;0.02,40,0)
+
IF(B34&gt;Indicators!E34,30,0)
+
IF(B34&gt;Indicators!F34,30,0)</f>
        <v/>
      </c>
    </row>
    <row r="35">
      <c r="A35">
        <f>Indicators!A35</f>
        <v/>
      </c>
      <c r="B35" s="3">
        <f>Indicators!C35</f>
        <v/>
      </c>
      <c r="C35">
        <f>Indicators!G35</f>
        <v/>
      </c>
      <c r="D35" s="4">
        <f>Indicators!H35</f>
        <v/>
      </c>
      <c r="E35">
        <f>Indicators!J35</f>
        <v/>
      </c>
      <c r="F35">
        <f>Indicators!K35</f>
        <v/>
      </c>
      <c r="G35">
        <f>Indicators!L35</f>
        <v/>
      </c>
      <c r="H35" s="3">
        <f>B35-(Indicators!I35*1.5)</f>
        <v/>
      </c>
      <c r="I35" s="3">
        <f>B35+(Indicators!I35*3)</f>
        <v/>
      </c>
      <c r="J35" s="71">
        <f>(I35-B35)/(B35-H35)</f>
        <v/>
      </c>
      <c r="K35">
        <f>(E35*0.5)+
(F35*0.2)+
((100+G35)*0.1)+
(MIN(J35,3)*10)</f>
        <v/>
      </c>
      <c r="L35">
        <f>RANK(K35,$K$2:$K$100,0)</f>
        <v/>
      </c>
      <c r="M35">
        <f>IF(K35&gt;=80,"A",
IF(K35&gt;=70,"B",
IF(K35&gt;=60,"C",
"F")))</f>
        <v/>
      </c>
      <c r="N35">
        <f>IF(K35&gt;=75,"BUY NOW",
IF(K35&gt;=60,"WATCH",
"AVOID"))</f>
        <v/>
      </c>
      <c r="O35">
        <f>(B35&gt;Indicators!D35)+
(B35&gt;Indicators!E35)+
(B35&gt;Indicators!F35)</f>
        <v/>
      </c>
      <c r="P35">
        <f>IF(
AND(
K35&gt;=80,
C35&gt;=50,
F35&gt;
0),
"YES",
"NO"
)</f>
        <v/>
      </c>
      <c r="Q35">
        <f>IF(
AND(
B35&gt;Indicators!F35,
ABS(B35-Indicators!D35)/Indicators!D35&lt;0.03
),
"YES",
"NO"
)</f>
        <v/>
      </c>
      <c r="R35">
        <f>IF(ABS(B35-Indicators!D35)/Indicators!D35&lt;0.02,40,0)
+
IF(B35&gt;Indicators!E35,30,0)
+
IF(B35&gt;Indicators!F35,30,0)</f>
        <v/>
      </c>
    </row>
    <row r="36">
      <c r="A36">
        <f>Indicators!A36</f>
        <v/>
      </c>
      <c r="B36" s="3">
        <f>Indicators!C36</f>
        <v/>
      </c>
      <c r="C36">
        <f>Indicators!G36</f>
        <v/>
      </c>
      <c r="D36" s="4">
        <f>Indicators!H36</f>
        <v/>
      </c>
      <c r="E36">
        <f>Indicators!J36</f>
        <v/>
      </c>
      <c r="F36">
        <f>Indicators!K36</f>
        <v/>
      </c>
      <c r="G36">
        <f>Indicators!L36</f>
        <v/>
      </c>
      <c r="H36" s="3">
        <f>B36-(Indicators!I36*1.5)</f>
        <v/>
      </c>
      <c r="I36" s="3">
        <f>B36+(Indicators!I36*3)</f>
        <v/>
      </c>
      <c r="J36" s="71">
        <f>(I36-B36)/(B36-H36)</f>
        <v/>
      </c>
      <c r="K36">
        <f>(E36*0.5)+
(F36*0.2)+
((100+G36)*0.1)+
(MIN(J36,3)*10)</f>
        <v/>
      </c>
      <c r="L36">
        <f>RANK(K36,$K$2:$K$100,0)</f>
        <v/>
      </c>
      <c r="M36">
        <f>IF(K36&gt;=80,"A",
IF(K36&gt;=70,"B",
IF(K36&gt;=60,"C",
"F")))</f>
        <v/>
      </c>
      <c r="N36">
        <f>IF(K36&gt;=75,"BUY NOW",
IF(K36&gt;=60,"WATCH",
"AVOID"))</f>
        <v/>
      </c>
      <c r="O36">
        <f>(B36&gt;Indicators!D36)+
(B36&gt;Indicators!E36)+
(B36&gt;Indicators!F36)</f>
        <v/>
      </c>
      <c r="P36">
        <f>IF(
AND(
K36&gt;=80,
C36&gt;=50,
F36&gt;
0),
"YES",
"NO"
)</f>
        <v/>
      </c>
      <c r="Q36">
        <f>IF(
AND(
B36&gt;Indicators!F36,
ABS(B36-Indicators!D36)/Indicators!D36&lt;0.03
),
"YES",
"NO"
)</f>
        <v/>
      </c>
      <c r="R36">
        <f>IF(ABS(B36-Indicators!D36)/Indicators!D36&lt;0.02,40,0)
+
IF(B36&gt;Indicators!E36,30,0)
+
IF(B36&gt;Indicators!F36,30,0)</f>
        <v/>
      </c>
    </row>
    <row r="42">
      <c r="G42" s="71" t="n"/>
    </row>
  </sheetData>
  <conditionalFormatting sqref="C1:C41 C43:C1048576">
    <cfRule type="cellIs" priority="20" operator="greaterThan" dxfId="6">
      <formula>75</formula>
    </cfRule>
    <cfRule type="cellIs" priority="21" operator="between" dxfId="1">
      <formula>65</formula>
      <formula>75</formula>
    </cfRule>
    <cfRule type="cellIs" priority="22" operator="between" dxfId="33">
      <formula>50</formula>
      <formula>65</formula>
    </cfRule>
  </conditionalFormatting>
  <conditionalFormatting sqref="F2:F36">
    <cfRule type="cellIs" priority="1" operator="lessThan" dxfId="6">
      <formula>5</formula>
    </cfRule>
    <cfRule type="cellIs" priority="2" operator="between" dxfId="6">
      <formula>10</formula>
      <formula>24.9</formula>
    </cfRule>
    <cfRule type="cellIs" priority="3" operator="greaterThan" dxfId="4">
      <formula>25</formula>
    </cfRule>
  </conditionalFormatting>
  <conditionalFormatting sqref="F42 G1:R1 G3:G41 G43:G1048576">
    <cfRule type="cellIs" priority="27" operator="equal" dxfId="6">
      <formula>"AVOID"</formula>
    </cfRule>
    <cfRule type="cellIs" priority="28" operator="equal" dxfId="5">
      <formula>"WATCH"</formula>
    </cfRule>
    <cfRule type="cellIs" priority="29" operator="equal" dxfId="4">
      <formula>"BUY"</formula>
    </cfRule>
  </conditionalFormatting>
  <conditionalFormatting sqref="K2:K36">
    <cfRule type="cellIs" priority="7" operator="lessThan" dxfId="6">
      <formula>74.9</formula>
    </cfRule>
    <cfRule type="cellIs" priority="8" operator="between" dxfId="5">
      <formula>75</formula>
      <formula>89.8</formula>
    </cfRule>
    <cfRule type="cellIs" priority="9" operator="between" dxfId="4">
      <formula>89.9</formula>
      <formula>100</formula>
    </cfRule>
  </conditionalFormatting>
  <conditionalFormatting sqref="N2:N36">
    <cfRule type="cellIs" priority="4" operator="equal" dxfId="6">
      <formula>"AVOID"</formula>
    </cfRule>
    <cfRule type="cellIs" priority="5" operator="equal" dxfId="5">
      <formula>"WATCH"</formula>
    </cfRule>
    <cfRule type="cellIs" priority="6" operator="equal" dxfId="4">
      <formula>"BUY NOW"</formula>
    </cfRule>
  </conditionalFormatting>
  <conditionalFormatting sqref="O2:O36">
    <cfRule type="cellIs" priority="10" operator="equal" dxfId="4">
      <formula>3</formula>
    </cfRule>
    <cfRule type="cellIs" priority="11" operator="equal" dxfId="5">
      <formula>2</formula>
    </cfRule>
    <cfRule type="cellIs" priority="12" operator="equal" dxfId="6">
      <formula>1</formula>
    </cfRule>
  </conditionalFormatting>
  <conditionalFormatting sqref="P2:P36">
    <cfRule type="cellIs" priority="13" operator="equal" dxfId="4">
      <formula>"YES"</formula>
    </cfRule>
    <cfRule type="cellIs" priority="14" operator="equal" dxfId="6">
      <formula>"NO"</formula>
    </cfRule>
  </conditionalFormatting>
  <conditionalFormatting sqref="Q2:Q36">
    <cfRule type="cellIs" priority="15" operator="equal" dxfId="6">
      <formula>"NO"</formula>
    </cfRule>
    <cfRule type="cellIs" priority="16" operator="equal" dxfId="4">
      <formula>"YES"</formula>
    </cfRule>
  </conditionalFormatting>
  <conditionalFormatting sqref="R2:R36">
    <cfRule type="cellIs" priority="17" operator="lessThan" dxfId="6">
      <formula>69</formula>
    </cfRule>
    <cfRule type="cellIs" priority="18" operator="equal" dxfId="4">
      <formula>100</formula>
    </cfRule>
    <cfRule type="cellIs" priority="19" operator="between" dxfId="5">
      <formula>69.9</formula>
      <formula>99</formula>
    </cfRule>
  </conditionalFormatting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Date</t>
        </is>
      </c>
      <c r="D1" t="inlineStr">
        <is>
          <t>Price</t>
        </is>
      </c>
      <c r="E1" t="inlineStr">
        <is>
          <t>RSI</t>
        </is>
      </c>
      <c r="F1" t="inlineStr">
        <is>
          <t>RVOL</t>
        </is>
      </c>
      <c r="G1" t="inlineStr">
        <is>
          <t>Return3M</t>
        </is>
      </c>
      <c r="H1" t="inlineStr">
        <is>
          <t>Dist52High</t>
        </is>
      </c>
      <c r="I1" t="inlineStr">
        <is>
          <t>TrendScore</t>
        </is>
      </c>
      <c r="J1" t="inlineStr">
        <is>
          <t>EntryScore</t>
        </is>
      </c>
      <c r="K1" t="inlineStr">
        <is>
          <t>AlphaScore</t>
        </is>
      </c>
      <c r="L1" t="inlineStr">
        <is>
          <t>EliteLeader</t>
        </is>
      </c>
      <c r="M1" t="inlineStr">
        <is>
          <t>InstitutionalAccumulation</t>
        </is>
      </c>
      <c r="N1" t="inlineStr">
        <is>
          <t>Decision</t>
        </is>
      </c>
    </row>
    <row r="2">
      <c r="A2" t="n">
        <v>1</v>
      </c>
      <c r="B2" t="inlineStr">
        <is>
          <t>FBRX</t>
        </is>
      </c>
      <c r="C2" t="inlineStr">
        <is>
          <t>2026-07-30</t>
        </is>
      </c>
      <c r="D2" t="n">
        <v>76.56999999999999</v>
      </c>
      <c r="E2" t="n">
        <v>84.5</v>
      </c>
      <c r="F2" t="n">
        <v>0.8100000000000001</v>
      </c>
      <c r="G2" t="n">
        <v>187.19</v>
      </c>
      <c r="H2" t="n">
        <v>-0.11</v>
      </c>
      <c r="I2" t="n">
        <v>60</v>
      </c>
      <c r="J2" t="n">
        <v>45</v>
      </c>
      <c r="K2" t="n">
        <v>100</v>
      </c>
      <c r="L2" t="b">
        <v>1</v>
      </c>
      <c r="M2" t="b">
        <v>0</v>
      </c>
      <c r="N2" t="inlineStr">
        <is>
          <t>ELITE LEADER</t>
        </is>
      </c>
    </row>
    <row r="3">
      <c r="A3" t="n">
        <v>2</v>
      </c>
      <c r="B3" t="inlineStr">
        <is>
          <t>CORT</t>
        </is>
      </c>
      <c r="C3" t="inlineStr">
        <is>
          <t>2026-07-30</t>
        </is>
      </c>
      <c r="D3" t="n">
        <v>117.5</v>
      </c>
      <c r="E3" t="n">
        <v>70.5</v>
      </c>
      <c r="F3" t="n">
        <v>2.6</v>
      </c>
      <c r="G3" t="n">
        <v>152.57</v>
      </c>
      <c r="H3" t="n">
        <v>0</v>
      </c>
      <c r="I3" t="n">
        <v>60</v>
      </c>
      <c r="J3" t="n">
        <v>60</v>
      </c>
      <c r="K3" t="n">
        <v>100</v>
      </c>
      <c r="L3" t="b">
        <v>1</v>
      </c>
      <c r="M3" t="b">
        <v>0</v>
      </c>
      <c r="N3" t="inlineStr">
        <is>
          <t>ELITE LEADER</t>
        </is>
      </c>
    </row>
    <row r="4">
      <c r="A4" t="n">
        <v>3</v>
      </c>
      <c r="B4" t="inlineStr">
        <is>
          <t>TXG</t>
        </is>
      </c>
      <c r="C4" t="inlineStr">
        <is>
          <t>2026-07-30</t>
        </is>
      </c>
      <c r="D4" t="n">
        <v>48.93</v>
      </c>
      <c r="E4" t="n">
        <v>66.06</v>
      </c>
      <c r="F4" t="n">
        <v>0.5</v>
      </c>
      <c r="G4" t="n">
        <v>121.9</v>
      </c>
      <c r="H4" t="n">
        <v>0</v>
      </c>
      <c r="I4" t="n">
        <v>60</v>
      </c>
      <c r="J4" t="n">
        <v>45</v>
      </c>
      <c r="K4" t="n">
        <v>100</v>
      </c>
      <c r="L4" t="b">
        <v>1</v>
      </c>
      <c r="M4" t="b">
        <v>0</v>
      </c>
      <c r="N4" t="inlineStr">
        <is>
          <t>ELITE LEADER</t>
        </is>
      </c>
    </row>
    <row r="5">
      <c r="A5" t="n">
        <v>4</v>
      </c>
      <c r="B5" t="inlineStr">
        <is>
          <t>CRNX</t>
        </is>
      </c>
      <c r="C5" t="inlineStr">
        <is>
          <t>2026-07-30</t>
        </is>
      </c>
      <c r="D5" t="n">
        <v>83.81</v>
      </c>
      <c r="E5" t="n">
        <v>61.86</v>
      </c>
      <c r="F5" t="n">
        <v>0.13</v>
      </c>
      <c r="G5" t="n">
        <v>116.12</v>
      </c>
      <c r="H5" t="n">
        <v>-0.12</v>
      </c>
      <c r="I5" t="n">
        <v>60</v>
      </c>
      <c r="J5" t="n">
        <v>70</v>
      </c>
      <c r="K5" t="n">
        <v>100</v>
      </c>
      <c r="L5" t="b">
        <v>1</v>
      </c>
      <c r="M5" t="b">
        <v>0</v>
      </c>
      <c r="N5" t="inlineStr">
        <is>
          <t>ELITE LEADER</t>
        </is>
      </c>
    </row>
    <row r="6">
      <c r="A6" t="n">
        <v>7</v>
      </c>
      <c r="B6" t="inlineStr">
        <is>
          <t>BJRI</t>
        </is>
      </c>
      <c r="C6" t="inlineStr">
        <is>
          <t>2026-07-30</t>
        </is>
      </c>
      <c r="D6" t="n">
        <v>71.84999999999999</v>
      </c>
      <c r="E6" t="n">
        <v>73.2</v>
      </c>
      <c r="F6" t="n">
        <v>0.85</v>
      </c>
      <c r="G6" t="n">
        <v>87.11</v>
      </c>
      <c r="H6" t="n">
        <v>0</v>
      </c>
      <c r="I6" t="n">
        <v>60</v>
      </c>
      <c r="J6" t="n">
        <v>45</v>
      </c>
      <c r="K6" t="n">
        <v>100</v>
      </c>
      <c r="L6" t="b">
        <v>1</v>
      </c>
      <c r="M6" t="b">
        <v>0</v>
      </c>
      <c r="N6" t="inlineStr">
        <is>
          <t>ELITE LEADER</t>
        </is>
      </c>
    </row>
    <row r="7">
      <c r="A7" t="n">
        <v>11</v>
      </c>
      <c r="B7" t="inlineStr">
        <is>
          <t>XNCR</t>
        </is>
      </c>
      <c r="C7" t="inlineStr">
        <is>
          <t>2026-07-30</t>
        </is>
      </c>
      <c r="D7" t="n">
        <v>21.41</v>
      </c>
      <c r="E7" t="n">
        <v>76.83</v>
      </c>
      <c r="F7" t="n">
        <v>0.89</v>
      </c>
      <c r="G7" t="n">
        <v>79.45999999999999</v>
      </c>
      <c r="H7" t="n">
        <v>0</v>
      </c>
      <c r="I7" t="n">
        <v>60</v>
      </c>
      <c r="J7" t="n">
        <v>45</v>
      </c>
      <c r="K7" t="n">
        <v>100</v>
      </c>
      <c r="L7" t="b">
        <v>1</v>
      </c>
      <c r="M7" t="b">
        <v>0</v>
      </c>
      <c r="N7" t="inlineStr">
        <is>
          <t>ELITE LEADER</t>
        </is>
      </c>
    </row>
    <row r="8">
      <c r="A8" t="n">
        <v>12</v>
      </c>
      <c r="B8" t="inlineStr">
        <is>
          <t>VCYT</t>
        </is>
      </c>
      <c r="C8" t="inlineStr">
        <is>
          <t>2026-07-30</t>
        </is>
      </c>
      <c r="D8" t="n">
        <v>58.69</v>
      </c>
      <c r="E8" t="n">
        <v>55.46</v>
      </c>
      <c r="F8" t="n">
        <v>1.09</v>
      </c>
      <c r="G8" t="n">
        <v>78.3</v>
      </c>
      <c r="H8" t="n">
        <v>-2.97</v>
      </c>
      <c r="I8" t="n">
        <v>60</v>
      </c>
      <c r="J8" t="n">
        <v>100</v>
      </c>
      <c r="K8" t="n">
        <v>100</v>
      </c>
      <c r="L8" t="b">
        <v>1</v>
      </c>
      <c r="M8" t="b">
        <v>0</v>
      </c>
      <c r="N8" t="inlineStr">
        <is>
          <t>ELITE LEADER</t>
        </is>
      </c>
    </row>
    <row r="9">
      <c r="A9" t="n">
        <v>14</v>
      </c>
      <c r="B9" t="inlineStr">
        <is>
          <t>LPRO</t>
        </is>
      </c>
      <c r="C9" t="inlineStr">
        <is>
          <t>2026-07-30</t>
        </is>
      </c>
      <c r="D9" t="n">
        <v>3.14</v>
      </c>
      <c r="E9" t="n">
        <v>54.55</v>
      </c>
      <c r="F9" t="n">
        <v>0.47</v>
      </c>
      <c r="G9" t="n">
        <v>77.40000000000001</v>
      </c>
      <c r="H9" t="n">
        <v>-0.32</v>
      </c>
      <c r="I9" t="n">
        <v>60</v>
      </c>
      <c r="J9" t="n">
        <v>85</v>
      </c>
      <c r="K9" t="n">
        <v>100</v>
      </c>
      <c r="L9" t="b">
        <v>1</v>
      </c>
      <c r="M9" t="b">
        <v>0</v>
      </c>
      <c r="N9" t="inlineStr">
        <is>
          <t>ELITE LEADER</t>
        </is>
      </c>
    </row>
    <row r="10">
      <c r="A10" t="n">
        <v>17</v>
      </c>
      <c r="B10" t="inlineStr">
        <is>
          <t>BRKR</t>
        </is>
      </c>
      <c r="C10" t="inlineStr">
        <is>
          <t>2026-07-30</t>
        </is>
      </c>
      <c r="D10" t="n">
        <v>63.85</v>
      </c>
      <c r="E10" t="n">
        <v>58.45</v>
      </c>
      <c r="F10" t="n">
        <v>0.62</v>
      </c>
      <c r="G10" t="n">
        <v>74.06999999999999</v>
      </c>
      <c r="H10" t="n">
        <v>0</v>
      </c>
      <c r="I10" t="n">
        <v>60</v>
      </c>
      <c r="J10" t="n">
        <v>70</v>
      </c>
      <c r="K10" t="n">
        <v>100</v>
      </c>
      <c r="L10" t="b">
        <v>1</v>
      </c>
      <c r="M10" t="b">
        <v>0</v>
      </c>
      <c r="N10" t="inlineStr">
        <is>
          <t>ELITE LEADER</t>
        </is>
      </c>
    </row>
    <row r="11">
      <c r="A11" t="n">
        <v>19</v>
      </c>
      <c r="B11" t="inlineStr">
        <is>
          <t>NEO</t>
        </is>
      </c>
      <c r="C11" t="inlineStr">
        <is>
          <t>2026-07-30</t>
        </is>
      </c>
      <c r="D11" t="n">
        <v>15.76</v>
      </c>
      <c r="E11" t="n">
        <v>63.91</v>
      </c>
      <c r="F11" t="n">
        <v>1.14</v>
      </c>
      <c r="G11" t="n">
        <v>70.19</v>
      </c>
      <c r="H11" t="n">
        <v>0</v>
      </c>
      <c r="I11" t="n">
        <v>60</v>
      </c>
      <c r="J11" t="n">
        <v>85</v>
      </c>
      <c r="K11" t="n">
        <v>100</v>
      </c>
      <c r="L11" t="b">
        <v>1</v>
      </c>
      <c r="M11" t="b">
        <v>0</v>
      </c>
      <c r="N11" t="inlineStr">
        <is>
          <t>ELITE LEADER</t>
        </is>
      </c>
    </row>
    <row r="12">
      <c r="A12" t="n">
        <v>20</v>
      </c>
      <c r="B12" t="inlineStr">
        <is>
          <t>PLSE</t>
        </is>
      </c>
      <c r="C12" t="inlineStr">
        <is>
          <t>2026-07-30</t>
        </is>
      </c>
      <c r="D12" t="n">
        <v>35.6</v>
      </c>
      <c r="E12" t="n">
        <v>75.2</v>
      </c>
      <c r="F12" t="n">
        <v>0.48</v>
      </c>
      <c r="G12" t="n">
        <v>68.16</v>
      </c>
      <c r="H12" t="n">
        <v>0</v>
      </c>
      <c r="I12" t="n">
        <v>60</v>
      </c>
      <c r="J12" t="n">
        <v>45</v>
      </c>
      <c r="K12" t="n">
        <v>100</v>
      </c>
      <c r="L12" t="b">
        <v>1</v>
      </c>
      <c r="M12" t="b">
        <v>0</v>
      </c>
      <c r="N12" t="inlineStr">
        <is>
          <t>ELITE LEADER</t>
        </is>
      </c>
    </row>
    <row r="13">
      <c r="A13" t="n">
        <v>22</v>
      </c>
      <c r="B13" t="inlineStr">
        <is>
          <t>ADPT</t>
        </is>
      </c>
      <c r="C13" t="inlineStr">
        <is>
          <t>2026-07-30</t>
        </is>
      </c>
      <c r="D13" t="n">
        <v>23.53</v>
      </c>
      <c r="E13" t="n">
        <v>66.14</v>
      </c>
      <c r="F13" t="n">
        <v>1.24</v>
      </c>
      <c r="G13" t="n">
        <v>66.88</v>
      </c>
      <c r="H13" t="n">
        <v>0</v>
      </c>
      <c r="I13" t="n">
        <v>60</v>
      </c>
      <c r="J13" t="n">
        <v>60</v>
      </c>
      <c r="K13" t="n">
        <v>100</v>
      </c>
      <c r="L13" t="b">
        <v>1</v>
      </c>
      <c r="M13" t="b">
        <v>0</v>
      </c>
      <c r="N13" t="inlineStr">
        <is>
          <t>ELITE LEADER</t>
        </is>
      </c>
    </row>
    <row r="14">
      <c r="A14" t="n">
        <v>23</v>
      </c>
      <c r="B14" t="inlineStr">
        <is>
          <t>LIND</t>
        </is>
      </c>
      <c r="C14" t="inlineStr">
        <is>
          <t>2026-07-30</t>
        </is>
      </c>
      <c r="D14" t="n">
        <v>29.75</v>
      </c>
      <c r="E14" t="n">
        <v>72.28</v>
      </c>
      <c r="F14" t="n">
        <v>0.6899999999999999</v>
      </c>
      <c r="G14" t="n">
        <v>60.55</v>
      </c>
      <c r="H14" t="n">
        <v>0</v>
      </c>
      <c r="I14" t="n">
        <v>60</v>
      </c>
      <c r="J14" t="n">
        <v>45</v>
      </c>
      <c r="K14" t="n">
        <v>100</v>
      </c>
      <c r="L14" t="b">
        <v>1</v>
      </c>
      <c r="M14" t="b">
        <v>0</v>
      </c>
      <c r="N14" t="inlineStr">
        <is>
          <t>ELITE LEADER</t>
        </is>
      </c>
    </row>
    <row r="15">
      <c r="A15" t="n">
        <v>24</v>
      </c>
      <c r="B15" t="inlineStr">
        <is>
          <t>FIVN</t>
        </is>
      </c>
      <c r="C15" t="inlineStr">
        <is>
          <t>2026-07-30</t>
        </is>
      </c>
      <c r="D15" t="n">
        <v>27.56</v>
      </c>
      <c r="E15" t="n">
        <v>58.95</v>
      </c>
      <c r="F15" t="n">
        <v>1.71</v>
      </c>
      <c r="G15" t="n">
        <v>60.23</v>
      </c>
      <c r="H15" t="n">
        <v>-0.04</v>
      </c>
      <c r="I15" t="n">
        <v>60</v>
      </c>
      <c r="J15" t="n">
        <v>85</v>
      </c>
      <c r="K15" t="n">
        <v>100</v>
      </c>
      <c r="L15" t="b">
        <v>1</v>
      </c>
      <c r="M15" t="b">
        <v>0</v>
      </c>
      <c r="N15" t="inlineStr">
        <is>
          <t>ELITE LEADER</t>
        </is>
      </c>
    </row>
    <row r="16">
      <c r="A16" t="n">
        <v>25</v>
      </c>
      <c r="B16" t="inlineStr">
        <is>
          <t>CAKE</t>
        </is>
      </c>
      <c r="C16" t="inlineStr">
        <is>
          <t>2026-07-30</t>
        </is>
      </c>
      <c r="D16" t="n">
        <v>100.03</v>
      </c>
      <c r="E16" t="n">
        <v>79.08</v>
      </c>
      <c r="F16" t="n">
        <v>0.87</v>
      </c>
      <c r="G16" t="n">
        <v>59.9</v>
      </c>
      <c r="H16" t="n">
        <v>-1.1</v>
      </c>
      <c r="I16" t="n">
        <v>60</v>
      </c>
      <c r="J16" t="n">
        <v>45</v>
      </c>
      <c r="K16" t="n">
        <v>100</v>
      </c>
      <c r="L16" t="b">
        <v>1</v>
      </c>
      <c r="M16" t="b">
        <v>0</v>
      </c>
      <c r="N16" t="inlineStr">
        <is>
          <t>ELITE LEADER</t>
        </is>
      </c>
    </row>
    <row r="17">
      <c r="A17" t="n">
        <v>26</v>
      </c>
      <c r="B17" t="inlineStr">
        <is>
          <t>ILMN</t>
        </is>
      </c>
      <c r="C17" t="inlineStr">
        <is>
          <t>2026-07-30</t>
        </is>
      </c>
      <c r="D17" t="n">
        <v>201.46</v>
      </c>
      <c r="E17" t="n">
        <v>61.51</v>
      </c>
      <c r="F17" t="n">
        <v>0.9</v>
      </c>
      <c r="G17" t="n">
        <v>58.96</v>
      </c>
      <c r="H17" t="n">
        <v>0</v>
      </c>
      <c r="I17" t="n">
        <v>60</v>
      </c>
      <c r="J17" t="n">
        <v>70</v>
      </c>
      <c r="K17" t="n">
        <v>100</v>
      </c>
      <c r="L17" t="b">
        <v>1</v>
      </c>
      <c r="M17" t="b">
        <v>0</v>
      </c>
      <c r="N17" t="inlineStr">
        <is>
          <t>ELITE LEADER</t>
        </is>
      </c>
    </row>
    <row r="18">
      <c r="A18" t="n">
        <v>33</v>
      </c>
      <c r="B18" t="inlineStr">
        <is>
          <t>BLFS</t>
        </is>
      </c>
      <c r="C18" t="inlineStr">
        <is>
          <t>2026-07-30</t>
        </is>
      </c>
      <c r="D18" t="n">
        <v>31.66</v>
      </c>
      <c r="E18" t="n">
        <v>68.01000000000001</v>
      </c>
      <c r="F18" t="n">
        <v>0.11</v>
      </c>
      <c r="G18" t="n">
        <v>50.19</v>
      </c>
      <c r="H18" t="n">
        <v>-1</v>
      </c>
      <c r="I18" t="n">
        <v>60</v>
      </c>
      <c r="J18" t="n">
        <v>45</v>
      </c>
      <c r="K18" t="n">
        <v>100</v>
      </c>
      <c r="L18" t="b">
        <v>1</v>
      </c>
      <c r="M18" t="b">
        <v>0</v>
      </c>
      <c r="N18" t="inlineStr">
        <is>
          <t>ELITE LEADER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Date</t>
        </is>
      </c>
      <c r="D1" t="inlineStr">
        <is>
          <t>Price</t>
        </is>
      </c>
      <c r="E1" t="inlineStr">
        <is>
          <t>RSI</t>
        </is>
      </c>
      <c r="F1" t="inlineStr">
        <is>
          <t>RVOL</t>
        </is>
      </c>
      <c r="G1" t="inlineStr">
        <is>
          <t>Return3M</t>
        </is>
      </c>
      <c r="H1" t="inlineStr">
        <is>
          <t>Dist52High</t>
        </is>
      </c>
      <c r="I1" t="inlineStr">
        <is>
          <t>TrendScore</t>
        </is>
      </c>
      <c r="J1" t="inlineStr">
        <is>
          <t>EntryScore</t>
        </is>
      </c>
      <c r="K1" t="inlineStr">
        <is>
          <t>AlphaScore</t>
        </is>
      </c>
      <c r="L1" t="inlineStr">
        <is>
          <t>EliteLeader</t>
        </is>
      </c>
      <c r="M1" t="inlineStr">
        <is>
          <t>InstitutionalAccumulation</t>
        </is>
      </c>
      <c r="N1" t="inlineStr">
        <is>
          <t>Decision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Date</t>
        </is>
      </c>
      <c r="D1" t="inlineStr">
        <is>
          <t>Price</t>
        </is>
      </c>
      <c r="E1" t="inlineStr">
        <is>
          <t>RSI</t>
        </is>
      </c>
      <c r="F1" t="inlineStr">
        <is>
          <t>RVOL</t>
        </is>
      </c>
      <c r="G1" t="inlineStr">
        <is>
          <t>Return3M</t>
        </is>
      </c>
      <c r="H1" t="inlineStr">
        <is>
          <t>Dist52High</t>
        </is>
      </c>
      <c r="I1" t="inlineStr">
        <is>
          <t>TrendScore</t>
        </is>
      </c>
      <c r="J1" t="inlineStr">
        <is>
          <t>EntryScore</t>
        </is>
      </c>
      <c r="K1" t="inlineStr">
        <is>
          <t>AlphaScore</t>
        </is>
      </c>
      <c r="L1" t="inlineStr">
        <is>
          <t>EliteLeader</t>
        </is>
      </c>
      <c r="M1" t="inlineStr">
        <is>
          <t>InstitutionalAccumulation</t>
        </is>
      </c>
      <c r="N1" t="inlineStr">
        <is>
          <t>Decision</t>
        </is>
      </c>
    </row>
    <row r="2">
      <c r="A2" t="n">
        <v>1</v>
      </c>
      <c r="B2" t="inlineStr">
        <is>
          <t>FBRX</t>
        </is>
      </c>
      <c r="C2" t="inlineStr">
        <is>
          <t>2026-07-30</t>
        </is>
      </c>
      <c r="D2" t="n">
        <v>76.56999999999999</v>
      </c>
      <c r="E2" t="n">
        <v>84.5</v>
      </c>
      <c r="F2" t="n">
        <v>0.8100000000000001</v>
      </c>
      <c r="G2" t="n">
        <v>187.19</v>
      </c>
      <c r="H2" t="n">
        <v>-0.11</v>
      </c>
      <c r="I2" t="n">
        <v>60</v>
      </c>
      <c r="J2" t="n">
        <v>45</v>
      </c>
      <c r="K2" t="n">
        <v>100</v>
      </c>
      <c r="L2" t="b">
        <v>1</v>
      </c>
      <c r="M2" t="b">
        <v>0</v>
      </c>
      <c r="N2" t="inlineStr">
        <is>
          <t>ELITE LEADER</t>
        </is>
      </c>
    </row>
    <row r="3">
      <c r="A3" t="n">
        <v>2</v>
      </c>
      <c r="B3" t="inlineStr">
        <is>
          <t>CORT</t>
        </is>
      </c>
      <c r="C3" t="inlineStr">
        <is>
          <t>2026-07-30</t>
        </is>
      </c>
      <c r="D3" t="n">
        <v>117.5</v>
      </c>
      <c r="E3" t="n">
        <v>70.5</v>
      </c>
      <c r="F3" t="n">
        <v>2.6</v>
      </c>
      <c r="G3" t="n">
        <v>152.57</v>
      </c>
      <c r="H3" t="n">
        <v>0</v>
      </c>
      <c r="I3" t="n">
        <v>60</v>
      </c>
      <c r="J3" t="n">
        <v>60</v>
      </c>
      <c r="K3" t="n">
        <v>100</v>
      </c>
      <c r="L3" t="b">
        <v>1</v>
      </c>
      <c r="M3" t="b">
        <v>0</v>
      </c>
      <c r="N3" t="inlineStr">
        <is>
          <t>ELITE LEADER</t>
        </is>
      </c>
    </row>
    <row r="4">
      <c r="A4" t="n">
        <v>3</v>
      </c>
      <c r="B4" t="inlineStr">
        <is>
          <t>TXG</t>
        </is>
      </c>
      <c r="C4" t="inlineStr">
        <is>
          <t>2026-07-30</t>
        </is>
      </c>
      <c r="D4" t="n">
        <v>48.93</v>
      </c>
      <c r="E4" t="n">
        <v>66.06</v>
      </c>
      <c r="F4" t="n">
        <v>0.5</v>
      </c>
      <c r="G4" t="n">
        <v>121.9</v>
      </c>
      <c r="H4" t="n">
        <v>0</v>
      </c>
      <c r="I4" t="n">
        <v>60</v>
      </c>
      <c r="J4" t="n">
        <v>45</v>
      </c>
      <c r="K4" t="n">
        <v>100</v>
      </c>
      <c r="L4" t="b">
        <v>1</v>
      </c>
      <c r="M4" t="b">
        <v>0</v>
      </c>
      <c r="N4" t="inlineStr">
        <is>
          <t>ELITE LEADER</t>
        </is>
      </c>
    </row>
    <row r="5">
      <c r="A5" t="n">
        <v>4</v>
      </c>
      <c r="B5" t="inlineStr">
        <is>
          <t>CRNX</t>
        </is>
      </c>
      <c r="C5" t="inlineStr">
        <is>
          <t>2026-07-30</t>
        </is>
      </c>
      <c r="D5" t="n">
        <v>83.81</v>
      </c>
      <c r="E5" t="n">
        <v>61.86</v>
      </c>
      <c r="F5" t="n">
        <v>0.13</v>
      </c>
      <c r="G5" t="n">
        <v>116.12</v>
      </c>
      <c r="H5" t="n">
        <v>-0.12</v>
      </c>
      <c r="I5" t="n">
        <v>60</v>
      </c>
      <c r="J5" t="n">
        <v>70</v>
      </c>
      <c r="K5" t="n">
        <v>100</v>
      </c>
      <c r="L5" t="b">
        <v>1</v>
      </c>
      <c r="M5" t="b">
        <v>0</v>
      </c>
      <c r="N5" t="inlineStr">
        <is>
          <t>ELITE LEADER</t>
        </is>
      </c>
    </row>
    <row r="6">
      <c r="A6" t="n">
        <v>5</v>
      </c>
      <c r="B6" t="inlineStr">
        <is>
          <t>DDOG</t>
        </is>
      </c>
      <c r="C6" t="inlineStr">
        <is>
          <t>2026-07-30</t>
        </is>
      </c>
      <c r="D6" t="n">
        <v>266.61</v>
      </c>
      <c r="E6" t="n">
        <v>56.24</v>
      </c>
      <c r="F6" t="n">
        <v>0.64</v>
      </c>
      <c r="G6" t="n">
        <v>101.69</v>
      </c>
      <c r="H6" t="n">
        <v>-3.92</v>
      </c>
      <c r="I6" t="n">
        <v>60</v>
      </c>
      <c r="J6" t="n">
        <v>70</v>
      </c>
      <c r="K6" t="n">
        <v>100</v>
      </c>
      <c r="L6" t="b">
        <v>0</v>
      </c>
      <c r="M6" t="b">
        <v>0</v>
      </c>
      <c r="N6" t="inlineStr">
        <is>
          <t>HIGH CONVICTION</t>
        </is>
      </c>
    </row>
    <row r="7">
      <c r="A7" t="n">
        <v>6</v>
      </c>
      <c r="B7" t="inlineStr">
        <is>
          <t>GRPN</t>
        </is>
      </c>
      <c r="C7" t="inlineStr">
        <is>
          <t>2026-07-30</t>
        </is>
      </c>
      <c r="D7" t="n">
        <v>27.66</v>
      </c>
      <c r="E7" t="n">
        <v>54.31</v>
      </c>
      <c r="F7" t="n">
        <v>0.51</v>
      </c>
      <c r="G7" t="n">
        <v>94.65000000000001</v>
      </c>
      <c r="H7" t="n">
        <v>-25.02</v>
      </c>
      <c r="I7" t="n">
        <v>60</v>
      </c>
      <c r="J7" t="n">
        <v>70</v>
      </c>
      <c r="K7" t="n">
        <v>100</v>
      </c>
      <c r="L7" t="b">
        <v>0</v>
      </c>
      <c r="M7" t="b">
        <v>0</v>
      </c>
      <c r="N7" t="inlineStr">
        <is>
          <t>HIGH CONVICTION</t>
        </is>
      </c>
    </row>
    <row r="8">
      <c r="A8" t="n">
        <v>7</v>
      </c>
      <c r="B8" t="inlineStr">
        <is>
          <t>BJRI</t>
        </is>
      </c>
      <c r="C8" t="inlineStr">
        <is>
          <t>2026-07-30</t>
        </is>
      </c>
      <c r="D8" t="n">
        <v>71.84999999999999</v>
      </c>
      <c r="E8" t="n">
        <v>73.2</v>
      </c>
      <c r="F8" t="n">
        <v>0.85</v>
      </c>
      <c r="G8" t="n">
        <v>87.11</v>
      </c>
      <c r="H8" t="n">
        <v>0</v>
      </c>
      <c r="I8" t="n">
        <v>60</v>
      </c>
      <c r="J8" t="n">
        <v>45</v>
      </c>
      <c r="K8" t="n">
        <v>100</v>
      </c>
      <c r="L8" t="b">
        <v>1</v>
      </c>
      <c r="M8" t="b">
        <v>0</v>
      </c>
      <c r="N8" t="inlineStr">
        <is>
          <t>ELITE LEADER</t>
        </is>
      </c>
    </row>
    <row r="9">
      <c r="A9" t="n">
        <v>8</v>
      </c>
      <c r="B9" t="inlineStr">
        <is>
          <t>FTNT</t>
        </is>
      </c>
      <c r="C9" t="inlineStr">
        <is>
          <t>2026-07-30</t>
        </is>
      </c>
      <c r="D9" t="n">
        <v>153.99</v>
      </c>
      <c r="E9" t="n">
        <v>44.75</v>
      </c>
      <c r="F9" t="n">
        <v>1.41</v>
      </c>
      <c r="G9" t="n">
        <v>82.65000000000001</v>
      </c>
      <c r="H9" t="n">
        <v>-7.7</v>
      </c>
      <c r="I9" t="n">
        <v>45</v>
      </c>
      <c r="J9" t="n">
        <v>75</v>
      </c>
      <c r="K9" t="n">
        <v>100</v>
      </c>
      <c r="L9" t="b">
        <v>0</v>
      </c>
      <c r="M9" t="b">
        <v>0</v>
      </c>
      <c r="N9" t="inlineStr">
        <is>
          <t>HIGH CONVICTION</t>
        </is>
      </c>
    </row>
    <row r="10">
      <c r="A10" t="n">
        <v>9</v>
      </c>
      <c r="B10" t="inlineStr">
        <is>
          <t>MRVI</t>
        </is>
      </c>
      <c r="C10" t="inlineStr">
        <is>
          <t>2026-07-30</t>
        </is>
      </c>
      <c r="D10" t="n">
        <v>6.7</v>
      </c>
      <c r="E10" t="n">
        <v>62.35</v>
      </c>
      <c r="F10" t="n">
        <v>0.23</v>
      </c>
      <c r="G10" t="n">
        <v>82.06999999999999</v>
      </c>
      <c r="H10" t="n">
        <v>-7.46</v>
      </c>
      <c r="I10" t="n">
        <v>60</v>
      </c>
      <c r="J10" t="n">
        <v>85</v>
      </c>
      <c r="K10" t="n">
        <v>100</v>
      </c>
      <c r="L10" t="b">
        <v>0</v>
      </c>
      <c r="M10" t="b">
        <v>0</v>
      </c>
      <c r="N10" t="inlineStr">
        <is>
          <t>HIGH CONVICTION</t>
        </is>
      </c>
    </row>
    <row r="11">
      <c r="A11" t="n">
        <v>10</v>
      </c>
      <c r="B11" t="inlineStr">
        <is>
          <t>CBRL</t>
        </is>
      </c>
      <c r="C11" t="inlineStr">
        <is>
          <t>2026-07-30</t>
        </is>
      </c>
      <c r="D11" t="n">
        <v>56.54</v>
      </c>
      <c r="E11" t="n">
        <v>67.58</v>
      </c>
      <c r="F11" t="n">
        <v>0.42</v>
      </c>
      <c r="G11" t="n">
        <v>81.41</v>
      </c>
      <c r="H11" t="n">
        <v>-7.19</v>
      </c>
      <c r="I11" t="n">
        <v>60</v>
      </c>
      <c r="J11" t="n">
        <v>45</v>
      </c>
      <c r="K11" t="n">
        <v>100</v>
      </c>
      <c r="L11" t="b">
        <v>0</v>
      </c>
      <c r="M11" t="b">
        <v>0</v>
      </c>
      <c r="N11" t="inlineStr">
        <is>
          <t>HIGH CONVICTION</t>
        </is>
      </c>
    </row>
    <row r="12">
      <c r="A12" t="n">
        <v>11</v>
      </c>
      <c r="B12" t="inlineStr">
        <is>
          <t>XNCR</t>
        </is>
      </c>
      <c r="C12" t="inlineStr">
        <is>
          <t>2026-07-30</t>
        </is>
      </c>
      <c r="D12" t="n">
        <v>21.41</v>
      </c>
      <c r="E12" t="n">
        <v>76.83</v>
      </c>
      <c r="F12" t="n">
        <v>0.89</v>
      </c>
      <c r="G12" t="n">
        <v>79.45999999999999</v>
      </c>
      <c r="H12" t="n">
        <v>0</v>
      </c>
      <c r="I12" t="n">
        <v>60</v>
      </c>
      <c r="J12" t="n">
        <v>45</v>
      </c>
      <c r="K12" t="n">
        <v>100</v>
      </c>
      <c r="L12" t="b">
        <v>1</v>
      </c>
      <c r="M12" t="b">
        <v>0</v>
      </c>
      <c r="N12" t="inlineStr">
        <is>
          <t>ELITE LEADER</t>
        </is>
      </c>
    </row>
    <row r="13">
      <c r="A13" t="n">
        <v>12</v>
      </c>
      <c r="B13" t="inlineStr">
        <is>
          <t>VCYT</t>
        </is>
      </c>
      <c r="C13" t="inlineStr">
        <is>
          <t>2026-07-30</t>
        </is>
      </c>
      <c r="D13" t="n">
        <v>58.69</v>
      </c>
      <c r="E13" t="n">
        <v>55.46</v>
      </c>
      <c r="F13" t="n">
        <v>1.09</v>
      </c>
      <c r="G13" t="n">
        <v>78.3</v>
      </c>
      <c r="H13" t="n">
        <v>-2.97</v>
      </c>
      <c r="I13" t="n">
        <v>60</v>
      </c>
      <c r="J13" t="n">
        <v>100</v>
      </c>
      <c r="K13" t="n">
        <v>100</v>
      </c>
      <c r="L13" t="b">
        <v>1</v>
      </c>
      <c r="M13" t="b">
        <v>0</v>
      </c>
      <c r="N13" t="inlineStr">
        <is>
          <t>ELITE LEADER</t>
        </is>
      </c>
    </row>
    <row r="14">
      <c r="A14" t="n">
        <v>13</v>
      </c>
      <c r="B14" t="inlineStr">
        <is>
          <t>NSIT</t>
        </is>
      </c>
      <c r="C14" t="inlineStr">
        <is>
          <t>2026-07-30</t>
        </is>
      </c>
      <c r="D14" t="n">
        <v>129.66</v>
      </c>
      <c r="E14" t="n">
        <v>66.08</v>
      </c>
      <c r="F14" t="n">
        <v>0.78</v>
      </c>
      <c r="G14" t="n">
        <v>77.86</v>
      </c>
      <c r="H14" t="n">
        <v>-10.33</v>
      </c>
      <c r="I14" t="n">
        <v>60</v>
      </c>
      <c r="J14" t="n">
        <v>45</v>
      </c>
      <c r="K14" t="n">
        <v>100</v>
      </c>
      <c r="L14" t="b">
        <v>0</v>
      </c>
      <c r="M14" t="b">
        <v>0</v>
      </c>
      <c r="N14" t="inlineStr">
        <is>
          <t>HIGH CONVICTION</t>
        </is>
      </c>
    </row>
    <row r="15">
      <c r="A15" t="n">
        <v>14</v>
      </c>
      <c r="B15" t="inlineStr">
        <is>
          <t>LPRO</t>
        </is>
      </c>
      <c r="C15" t="inlineStr">
        <is>
          <t>2026-07-30</t>
        </is>
      </c>
      <c r="D15" t="n">
        <v>3.14</v>
      </c>
      <c r="E15" t="n">
        <v>54.55</v>
      </c>
      <c r="F15" t="n">
        <v>0.47</v>
      </c>
      <c r="G15" t="n">
        <v>77.40000000000001</v>
      </c>
      <c r="H15" t="n">
        <v>-0.32</v>
      </c>
      <c r="I15" t="n">
        <v>60</v>
      </c>
      <c r="J15" t="n">
        <v>85</v>
      </c>
      <c r="K15" t="n">
        <v>100</v>
      </c>
      <c r="L15" t="b">
        <v>1</v>
      </c>
      <c r="M15" t="b">
        <v>0</v>
      </c>
      <c r="N15" t="inlineStr">
        <is>
          <t>ELITE LEADER</t>
        </is>
      </c>
    </row>
    <row r="16">
      <c r="A16" t="n">
        <v>15</v>
      </c>
      <c r="B16" t="inlineStr">
        <is>
          <t>CDNA</t>
        </is>
      </c>
      <c r="C16" t="inlineStr">
        <is>
          <t>2026-07-30</t>
        </is>
      </c>
      <c r="D16" t="n">
        <v>36.68</v>
      </c>
      <c r="E16" t="n">
        <v>72.23999999999999</v>
      </c>
      <c r="F16" t="n">
        <v>0.85</v>
      </c>
      <c r="G16" t="n">
        <v>76.26000000000001</v>
      </c>
      <c r="H16" t="n">
        <v>-9.07</v>
      </c>
      <c r="I16" t="n">
        <v>60</v>
      </c>
      <c r="J16" t="n">
        <v>45</v>
      </c>
      <c r="K16" t="n">
        <v>100</v>
      </c>
      <c r="L16" t="b">
        <v>0</v>
      </c>
      <c r="M16" t="b">
        <v>0</v>
      </c>
      <c r="N16" t="inlineStr">
        <is>
          <t>HIGH CONVICTION</t>
        </is>
      </c>
    </row>
    <row r="17">
      <c r="A17" t="n">
        <v>16</v>
      </c>
      <c r="B17" t="inlineStr">
        <is>
          <t>EVER</t>
        </is>
      </c>
      <c r="C17" t="inlineStr">
        <is>
          <t>2026-07-30</t>
        </is>
      </c>
      <c r="D17" t="n">
        <v>25.1</v>
      </c>
      <c r="E17" t="n">
        <v>51.18</v>
      </c>
      <c r="F17" t="n">
        <v>0.7</v>
      </c>
      <c r="G17" t="n">
        <v>74.09999999999999</v>
      </c>
      <c r="H17" t="n">
        <v>-9.92</v>
      </c>
      <c r="I17" t="n">
        <v>50</v>
      </c>
      <c r="J17" t="n">
        <v>85</v>
      </c>
      <c r="K17" t="n">
        <v>100</v>
      </c>
      <c r="L17" t="b">
        <v>0</v>
      </c>
      <c r="M17" t="b">
        <v>0</v>
      </c>
      <c r="N17" t="inlineStr">
        <is>
          <t>HIGH CONVICTION</t>
        </is>
      </c>
    </row>
    <row r="18">
      <c r="A18" t="n">
        <v>17</v>
      </c>
      <c r="B18" t="inlineStr">
        <is>
          <t>BRKR</t>
        </is>
      </c>
      <c r="C18" t="inlineStr">
        <is>
          <t>2026-07-30</t>
        </is>
      </c>
      <c r="D18" t="n">
        <v>63.85</v>
      </c>
      <c r="E18" t="n">
        <v>58.45</v>
      </c>
      <c r="F18" t="n">
        <v>0.62</v>
      </c>
      <c r="G18" t="n">
        <v>74.06999999999999</v>
      </c>
      <c r="H18" t="n">
        <v>0</v>
      </c>
      <c r="I18" t="n">
        <v>60</v>
      </c>
      <c r="J18" t="n">
        <v>70</v>
      </c>
      <c r="K18" t="n">
        <v>100</v>
      </c>
      <c r="L18" t="b">
        <v>1</v>
      </c>
      <c r="M18" t="b">
        <v>0</v>
      </c>
      <c r="N18" t="inlineStr">
        <is>
          <t>ELITE LEADER</t>
        </is>
      </c>
    </row>
    <row r="19">
      <c r="A19" t="n">
        <v>18</v>
      </c>
      <c r="B19" t="inlineStr">
        <is>
          <t>URGN</t>
        </is>
      </c>
      <c r="C19" t="inlineStr">
        <is>
          <t>2026-07-30</t>
        </is>
      </c>
      <c r="D19" t="n">
        <v>41.44</v>
      </c>
      <c r="E19" t="n">
        <v>61.96</v>
      </c>
      <c r="F19" t="n">
        <v>0.32</v>
      </c>
      <c r="G19" t="n">
        <v>73.90000000000001</v>
      </c>
      <c r="H19" t="n">
        <v>-5.34</v>
      </c>
      <c r="I19" t="n">
        <v>60</v>
      </c>
      <c r="J19" t="n">
        <v>70</v>
      </c>
      <c r="K19" t="n">
        <v>100</v>
      </c>
      <c r="L19" t="b">
        <v>0</v>
      </c>
      <c r="M19" t="b">
        <v>0</v>
      </c>
      <c r="N19" t="inlineStr">
        <is>
          <t>HIGH CONVICTION</t>
        </is>
      </c>
    </row>
    <row r="20">
      <c r="A20" t="n">
        <v>19</v>
      </c>
      <c r="B20" t="inlineStr">
        <is>
          <t>NEO</t>
        </is>
      </c>
      <c r="C20" t="inlineStr">
        <is>
          <t>2026-07-30</t>
        </is>
      </c>
      <c r="D20" t="n">
        <v>15.76</v>
      </c>
      <c r="E20" t="n">
        <v>63.91</v>
      </c>
      <c r="F20" t="n">
        <v>1.14</v>
      </c>
      <c r="G20" t="n">
        <v>70.19</v>
      </c>
      <c r="H20" t="n">
        <v>0</v>
      </c>
      <c r="I20" t="n">
        <v>60</v>
      </c>
      <c r="J20" t="n">
        <v>85</v>
      </c>
      <c r="K20" t="n">
        <v>100</v>
      </c>
      <c r="L20" t="b">
        <v>1</v>
      </c>
      <c r="M20" t="b">
        <v>0</v>
      </c>
      <c r="N20" t="inlineStr">
        <is>
          <t>ELITE LEADER</t>
        </is>
      </c>
    </row>
    <row r="21">
      <c r="A21" t="n">
        <v>20</v>
      </c>
      <c r="B21" t="inlineStr">
        <is>
          <t>PLSE</t>
        </is>
      </c>
      <c r="C21" t="inlineStr">
        <is>
          <t>2026-07-30</t>
        </is>
      </c>
      <c r="D21" t="n">
        <v>35.6</v>
      </c>
      <c r="E21" t="n">
        <v>75.2</v>
      </c>
      <c r="F21" t="n">
        <v>0.48</v>
      </c>
      <c r="G21" t="n">
        <v>68.16</v>
      </c>
      <c r="H21" t="n">
        <v>0</v>
      </c>
      <c r="I21" t="n">
        <v>60</v>
      </c>
      <c r="J21" t="n">
        <v>45</v>
      </c>
      <c r="K21" t="n">
        <v>100</v>
      </c>
      <c r="L21" t="b">
        <v>1</v>
      </c>
      <c r="M21" t="b">
        <v>0</v>
      </c>
      <c r="N21" t="inlineStr">
        <is>
          <t>ELITE LEADER</t>
        </is>
      </c>
    </row>
    <row r="22">
      <c r="A22" t="n">
        <v>21</v>
      </c>
      <c r="B22" t="inlineStr">
        <is>
          <t>PGNY</t>
        </is>
      </c>
      <c r="C22" t="inlineStr">
        <is>
          <t>2026-07-30</t>
        </is>
      </c>
      <c r="D22" t="n">
        <v>31.19</v>
      </c>
      <c r="E22" t="n">
        <v>53.88</v>
      </c>
      <c r="F22" t="n">
        <v>0.36</v>
      </c>
      <c r="G22" t="n">
        <v>67.87</v>
      </c>
      <c r="H22" t="n">
        <v>-3.62</v>
      </c>
      <c r="I22" t="n">
        <v>50</v>
      </c>
      <c r="J22" t="n">
        <v>85</v>
      </c>
      <c r="K22" t="n">
        <v>100</v>
      </c>
      <c r="L22" t="b">
        <v>0</v>
      </c>
      <c r="M22" t="b">
        <v>0</v>
      </c>
      <c r="N22" t="inlineStr">
        <is>
          <t>HIGH CONVICTION</t>
        </is>
      </c>
    </row>
    <row r="23">
      <c r="A23" t="n">
        <v>22</v>
      </c>
      <c r="B23" t="inlineStr">
        <is>
          <t>ADPT</t>
        </is>
      </c>
      <c r="C23" t="inlineStr">
        <is>
          <t>2026-07-30</t>
        </is>
      </c>
      <c r="D23" t="n">
        <v>23.53</v>
      </c>
      <c r="E23" t="n">
        <v>66.14</v>
      </c>
      <c r="F23" t="n">
        <v>1.24</v>
      </c>
      <c r="G23" t="n">
        <v>66.88</v>
      </c>
      <c r="H23" t="n">
        <v>0</v>
      </c>
      <c r="I23" t="n">
        <v>60</v>
      </c>
      <c r="J23" t="n">
        <v>60</v>
      </c>
      <c r="K23" t="n">
        <v>100</v>
      </c>
      <c r="L23" t="b">
        <v>1</v>
      </c>
      <c r="M23" t="b">
        <v>0</v>
      </c>
      <c r="N23" t="inlineStr">
        <is>
          <t>ELITE LEADER</t>
        </is>
      </c>
    </row>
    <row r="24">
      <c r="A24" t="n">
        <v>23</v>
      </c>
      <c r="B24" t="inlineStr">
        <is>
          <t>LIND</t>
        </is>
      </c>
      <c r="C24" t="inlineStr">
        <is>
          <t>2026-07-30</t>
        </is>
      </c>
      <c r="D24" t="n">
        <v>29.75</v>
      </c>
      <c r="E24" t="n">
        <v>72.28</v>
      </c>
      <c r="F24" t="n">
        <v>0.6899999999999999</v>
      </c>
      <c r="G24" t="n">
        <v>60.55</v>
      </c>
      <c r="H24" t="n">
        <v>0</v>
      </c>
      <c r="I24" t="n">
        <v>60</v>
      </c>
      <c r="J24" t="n">
        <v>45</v>
      </c>
      <c r="K24" t="n">
        <v>100</v>
      </c>
      <c r="L24" t="b">
        <v>1</v>
      </c>
      <c r="M24" t="b">
        <v>0</v>
      </c>
      <c r="N24" t="inlineStr">
        <is>
          <t>ELITE LEADER</t>
        </is>
      </c>
    </row>
    <row r="25">
      <c r="A25" t="n">
        <v>24</v>
      </c>
      <c r="B25" t="inlineStr">
        <is>
          <t>FIVN</t>
        </is>
      </c>
      <c r="C25" t="inlineStr">
        <is>
          <t>2026-07-30</t>
        </is>
      </c>
      <c r="D25" t="n">
        <v>27.56</v>
      </c>
      <c r="E25" t="n">
        <v>58.95</v>
      </c>
      <c r="F25" t="n">
        <v>1.71</v>
      </c>
      <c r="G25" t="n">
        <v>60.23</v>
      </c>
      <c r="H25" t="n">
        <v>-0.04</v>
      </c>
      <c r="I25" t="n">
        <v>60</v>
      </c>
      <c r="J25" t="n">
        <v>85</v>
      </c>
      <c r="K25" t="n">
        <v>100</v>
      </c>
      <c r="L25" t="b">
        <v>1</v>
      </c>
      <c r="M25" t="b">
        <v>0</v>
      </c>
      <c r="N25" t="inlineStr">
        <is>
          <t>ELITE LEADER</t>
        </is>
      </c>
    </row>
    <row r="26">
      <c r="A26" t="n">
        <v>25</v>
      </c>
      <c r="B26" t="inlineStr">
        <is>
          <t>CAKE</t>
        </is>
      </c>
      <c r="C26" t="inlineStr">
        <is>
          <t>2026-07-30</t>
        </is>
      </c>
      <c r="D26" t="n">
        <v>100.03</v>
      </c>
      <c r="E26" t="n">
        <v>79.08</v>
      </c>
      <c r="F26" t="n">
        <v>0.87</v>
      </c>
      <c r="G26" t="n">
        <v>59.9</v>
      </c>
      <c r="H26" t="n">
        <v>-1.1</v>
      </c>
      <c r="I26" t="n">
        <v>60</v>
      </c>
      <c r="J26" t="n">
        <v>45</v>
      </c>
      <c r="K26" t="n">
        <v>100</v>
      </c>
      <c r="L26" t="b">
        <v>1</v>
      </c>
      <c r="M26" t="b">
        <v>0</v>
      </c>
      <c r="N26" t="inlineStr">
        <is>
          <t>ELITE LEADER</t>
        </is>
      </c>
    </row>
    <row r="27">
      <c r="A27" t="n">
        <v>26</v>
      </c>
      <c r="B27" t="inlineStr">
        <is>
          <t>ILMN</t>
        </is>
      </c>
      <c r="C27" t="inlineStr">
        <is>
          <t>2026-07-30</t>
        </is>
      </c>
      <c r="D27" t="n">
        <v>201.46</v>
      </c>
      <c r="E27" t="n">
        <v>61.51</v>
      </c>
      <c r="F27" t="n">
        <v>0.9</v>
      </c>
      <c r="G27" t="n">
        <v>58.96</v>
      </c>
      <c r="H27" t="n">
        <v>0</v>
      </c>
      <c r="I27" t="n">
        <v>60</v>
      </c>
      <c r="J27" t="n">
        <v>70</v>
      </c>
      <c r="K27" t="n">
        <v>100</v>
      </c>
      <c r="L27" t="b">
        <v>1</v>
      </c>
      <c r="M27" t="b">
        <v>0</v>
      </c>
      <c r="N27" t="inlineStr">
        <is>
          <t>ELITE LEADER</t>
        </is>
      </c>
    </row>
    <row r="28">
      <c r="A28" t="n">
        <v>27</v>
      </c>
      <c r="B28" t="inlineStr">
        <is>
          <t>NTAP</t>
        </is>
      </c>
      <c r="C28" t="inlineStr">
        <is>
          <t>2026-07-30</t>
        </is>
      </c>
      <c r="D28" t="n">
        <v>174</v>
      </c>
      <c r="E28" t="n">
        <v>54.53</v>
      </c>
      <c r="F28" t="n">
        <v>0.34</v>
      </c>
      <c r="G28" t="n">
        <v>57.56</v>
      </c>
      <c r="H28" t="n">
        <v>-3.62</v>
      </c>
      <c r="I28" t="n">
        <v>60</v>
      </c>
      <c r="J28" t="n">
        <v>70</v>
      </c>
      <c r="K28" t="n">
        <v>100</v>
      </c>
      <c r="L28" t="b">
        <v>0</v>
      </c>
      <c r="M28" t="b">
        <v>0</v>
      </c>
      <c r="N28" t="inlineStr">
        <is>
          <t>HIGH CONVICTION</t>
        </is>
      </c>
    </row>
    <row r="29">
      <c r="A29" t="n">
        <v>28</v>
      </c>
      <c r="B29" t="inlineStr">
        <is>
          <t>SLN</t>
        </is>
      </c>
      <c r="C29" t="inlineStr">
        <is>
          <t>2026-07-30</t>
        </is>
      </c>
      <c r="D29" t="n">
        <v>11.43</v>
      </c>
      <c r="E29" t="n">
        <v>69.18000000000001</v>
      </c>
      <c r="F29" t="n">
        <v>1.18</v>
      </c>
      <c r="G29" t="n">
        <v>56.36</v>
      </c>
      <c r="H29" t="n">
        <v>-5.3</v>
      </c>
      <c r="I29" t="n">
        <v>60</v>
      </c>
      <c r="J29" t="n">
        <v>60</v>
      </c>
      <c r="K29" t="n">
        <v>100</v>
      </c>
      <c r="L29" t="b">
        <v>0</v>
      </c>
      <c r="M29" t="b">
        <v>0</v>
      </c>
      <c r="N29" t="inlineStr">
        <is>
          <t>HIGH CONVICTION</t>
        </is>
      </c>
    </row>
    <row r="30">
      <c r="A30" t="n">
        <v>29</v>
      </c>
      <c r="B30" t="inlineStr">
        <is>
          <t>CRSR</t>
        </is>
      </c>
      <c r="C30" t="inlineStr">
        <is>
          <t>2026-07-30</t>
        </is>
      </c>
      <c r="D30" t="n">
        <v>10.6</v>
      </c>
      <c r="E30" t="n">
        <v>59.53</v>
      </c>
      <c r="F30" t="n">
        <v>0.37</v>
      </c>
      <c r="G30" t="n">
        <v>56.11</v>
      </c>
      <c r="H30" t="n">
        <v>-12.69</v>
      </c>
      <c r="I30" t="n">
        <v>60</v>
      </c>
      <c r="J30" t="n">
        <v>70</v>
      </c>
      <c r="K30" t="n">
        <v>100</v>
      </c>
      <c r="L30" t="b">
        <v>0</v>
      </c>
      <c r="M30" t="b">
        <v>0</v>
      </c>
      <c r="N30" t="inlineStr">
        <is>
          <t>HIGH CONVICTION</t>
        </is>
      </c>
    </row>
    <row r="31">
      <c r="A31" t="n">
        <v>30</v>
      </c>
      <c r="B31" t="inlineStr">
        <is>
          <t>KELYA</t>
        </is>
      </c>
      <c r="C31" t="inlineStr">
        <is>
          <t>2026-07-30</t>
        </is>
      </c>
      <c r="D31" t="n">
        <v>15.04</v>
      </c>
      <c r="E31" t="n">
        <v>64.58</v>
      </c>
      <c r="F31" t="n">
        <v>0.51</v>
      </c>
      <c r="G31" t="n">
        <v>55.31</v>
      </c>
      <c r="H31" t="n">
        <v>-6.87</v>
      </c>
      <c r="I31" t="n">
        <v>60</v>
      </c>
      <c r="J31" t="n">
        <v>85</v>
      </c>
      <c r="K31" t="n">
        <v>100</v>
      </c>
      <c r="L31" t="b">
        <v>0</v>
      </c>
      <c r="M31" t="b">
        <v>0</v>
      </c>
      <c r="N31" t="inlineStr">
        <is>
          <t>HIGH CONVICTION</t>
        </is>
      </c>
    </row>
    <row r="32">
      <c r="A32" t="n">
        <v>31</v>
      </c>
      <c r="B32" t="inlineStr">
        <is>
          <t>TENB</t>
        </is>
      </c>
      <c r="C32" t="inlineStr">
        <is>
          <t>2026-07-30</t>
        </is>
      </c>
      <c r="D32" t="n">
        <v>32.32</v>
      </c>
      <c r="E32" t="n">
        <v>29.42</v>
      </c>
      <c r="F32" t="n">
        <v>1.82</v>
      </c>
      <c r="G32" t="n">
        <v>54.72</v>
      </c>
      <c r="H32" t="n">
        <v>-24.22</v>
      </c>
      <c r="I32" t="n">
        <v>45</v>
      </c>
      <c r="J32" t="n">
        <v>60</v>
      </c>
      <c r="K32" t="n">
        <v>100</v>
      </c>
      <c r="L32" t="b">
        <v>0</v>
      </c>
      <c r="M32" t="b">
        <v>0</v>
      </c>
      <c r="N32" t="inlineStr">
        <is>
          <t>HIGH CONVICTION</t>
        </is>
      </c>
    </row>
    <row r="33">
      <c r="A33" t="n">
        <v>32</v>
      </c>
      <c r="B33" t="inlineStr">
        <is>
          <t>PRCH</t>
        </is>
      </c>
      <c r="C33" t="inlineStr">
        <is>
          <t>2026-07-30</t>
        </is>
      </c>
      <c r="D33" t="n">
        <v>14.48</v>
      </c>
      <c r="E33" t="n">
        <v>47.7</v>
      </c>
      <c r="F33" t="n">
        <v>1.55</v>
      </c>
      <c r="G33" t="n">
        <v>50.36</v>
      </c>
      <c r="H33" t="n">
        <v>-23.95</v>
      </c>
      <c r="I33" t="n">
        <v>55</v>
      </c>
      <c r="J33" t="n">
        <v>85</v>
      </c>
      <c r="K33" t="n">
        <v>100</v>
      </c>
      <c r="L33" t="b">
        <v>0</v>
      </c>
      <c r="M33" t="b">
        <v>0</v>
      </c>
      <c r="N33" t="inlineStr">
        <is>
          <t>HIGH CONVICTION</t>
        </is>
      </c>
    </row>
    <row r="34">
      <c r="A34" t="n">
        <v>33</v>
      </c>
      <c r="B34" t="inlineStr">
        <is>
          <t>BLFS</t>
        </is>
      </c>
      <c r="C34" t="inlineStr">
        <is>
          <t>2026-07-30</t>
        </is>
      </c>
      <c r="D34" t="n">
        <v>31.66</v>
      </c>
      <c r="E34" t="n">
        <v>68.01000000000001</v>
      </c>
      <c r="F34" t="n">
        <v>0.11</v>
      </c>
      <c r="G34" t="n">
        <v>50.19</v>
      </c>
      <c r="H34" t="n">
        <v>-1</v>
      </c>
      <c r="I34" t="n">
        <v>60</v>
      </c>
      <c r="J34" t="n">
        <v>45</v>
      </c>
      <c r="K34" t="n">
        <v>100</v>
      </c>
      <c r="L34" t="b">
        <v>1</v>
      </c>
      <c r="M34" t="b">
        <v>0</v>
      </c>
      <c r="N34" t="inlineStr">
        <is>
          <t>ELITE LEADER</t>
        </is>
      </c>
    </row>
    <row r="35">
      <c r="A35" t="n">
        <v>34</v>
      </c>
      <c r="B35" t="inlineStr">
        <is>
          <t>RLAY</t>
        </is>
      </c>
      <c r="C35" t="inlineStr">
        <is>
          <t>2026-07-30</t>
        </is>
      </c>
      <c r="D35" t="n">
        <v>19.44</v>
      </c>
      <c r="E35" t="n">
        <v>45.4</v>
      </c>
      <c r="F35" t="n">
        <v>0.33</v>
      </c>
      <c r="G35" t="n">
        <v>50</v>
      </c>
      <c r="H35" t="n">
        <v>-6.31</v>
      </c>
      <c r="I35" t="n">
        <v>55</v>
      </c>
      <c r="J35" t="n">
        <v>85</v>
      </c>
      <c r="K35" t="n">
        <v>100</v>
      </c>
      <c r="L35" t="b">
        <v>0</v>
      </c>
      <c r="M35" t="b">
        <v>0</v>
      </c>
      <c r="N35" t="inlineStr">
        <is>
          <t>HIGH CONVICTION</t>
        </is>
      </c>
    </row>
    <row r="36">
      <c r="A36" t="n">
        <v>35</v>
      </c>
      <c r="B36" t="inlineStr">
        <is>
          <t>KNSA</t>
        </is>
      </c>
      <c r="C36" t="inlineStr">
        <is>
          <t>2026-07-30</t>
        </is>
      </c>
      <c r="D36" t="n">
        <v>79.29000000000001</v>
      </c>
      <c r="E36" t="n">
        <v>75.38</v>
      </c>
      <c r="F36" t="n">
        <v>0.8100000000000001</v>
      </c>
      <c r="G36" t="n">
        <v>47.43</v>
      </c>
      <c r="H36" t="n">
        <v>-2.01</v>
      </c>
      <c r="I36" t="n">
        <v>60</v>
      </c>
      <c r="J36" t="n">
        <v>45</v>
      </c>
      <c r="K36" t="n">
        <v>100</v>
      </c>
      <c r="L36" t="b">
        <v>0</v>
      </c>
      <c r="M36" t="b">
        <v>0</v>
      </c>
      <c r="N36" t="inlineStr">
        <is>
          <t>HIGH CONVICTION</t>
        </is>
      </c>
    </row>
    <row r="37">
      <c r="A37" t="n">
        <v>36</v>
      </c>
      <c r="B37" t="inlineStr">
        <is>
          <t>LILA</t>
        </is>
      </c>
      <c r="C37" t="inlineStr">
        <is>
          <t>2026-07-30</t>
        </is>
      </c>
      <c r="D37" t="n">
        <v>8.119999999999999</v>
      </c>
      <c r="E37" t="n">
        <v>65.67</v>
      </c>
      <c r="F37" t="n">
        <v>0.84</v>
      </c>
      <c r="G37" t="n">
        <v>47.29</v>
      </c>
      <c r="H37" t="n">
        <v>-4.64</v>
      </c>
      <c r="I37" t="n">
        <v>60</v>
      </c>
      <c r="J37" t="n">
        <v>45</v>
      </c>
      <c r="K37" t="n">
        <v>100</v>
      </c>
      <c r="L37" t="b">
        <v>0</v>
      </c>
      <c r="M37" t="b">
        <v>0</v>
      </c>
      <c r="N37" t="inlineStr">
        <is>
          <t>HIGH CONVICTION</t>
        </is>
      </c>
    </row>
    <row r="38">
      <c r="A38" t="n">
        <v>37</v>
      </c>
      <c r="B38" t="inlineStr">
        <is>
          <t>BLMN</t>
        </is>
      </c>
      <c r="C38" t="inlineStr">
        <is>
          <t>2026-07-30</t>
        </is>
      </c>
      <c r="D38" t="n">
        <v>8.800000000000001</v>
      </c>
      <c r="E38" t="n">
        <v>60.45</v>
      </c>
      <c r="F38" t="n">
        <v>0.28</v>
      </c>
      <c r="G38" t="n">
        <v>44.26</v>
      </c>
      <c r="H38" t="n">
        <v>-5.89</v>
      </c>
      <c r="I38" t="n">
        <v>60</v>
      </c>
      <c r="J38" t="n">
        <v>70</v>
      </c>
      <c r="K38" t="n">
        <v>100</v>
      </c>
      <c r="L38" t="b">
        <v>0</v>
      </c>
      <c r="M38" t="b">
        <v>0</v>
      </c>
      <c r="N38" t="inlineStr">
        <is>
          <t>HIGH CONVICTION</t>
        </is>
      </c>
    </row>
    <row r="39">
      <c r="A39" t="n">
        <v>38</v>
      </c>
      <c r="B39" t="inlineStr">
        <is>
          <t>ATRC</t>
        </is>
      </c>
      <c r="C39" t="inlineStr">
        <is>
          <t>2026-07-30</t>
        </is>
      </c>
      <c r="D39" t="n">
        <v>40.35</v>
      </c>
      <c r="E39" t="n">
        <v>72.72</v>
      </c>
      <c r="F39" t="n">
        <v>0.57</v>
      </c>
      <c r="G39" t="n">
        <v>43.53</v>
      </c>
      <c r="H39" t="n">
        <v>-4.86</v>
      </c>
      <c r="I39" t="n">
        <v>50</v>
      </c>
      <c r="J39" t="n">
        <v>45</v>
      </c>
      <c r="K39" t="n">
        <v>100</v>
      </c>
      <c r="L39" t="b">
        <v>0</v>
      </c>
      <c r="M39" t="b">
        <v>0</v>
      </c>
      <c r="N39" t="inlineStr">
        <is>
          <t>HIGH CONVICTION</t>
        </is>
      </c>
    </row>
    <row r="40">
      <c r="A40" t="n">
        <v>39</v>
      </c>
      <c r="B40" t="inlineStr">
        <is>
          <t>DYN</t>
        </is>
      </c>
      <c r="C40" t="inlineStr">
        <is>
          <t>2026-07-30</t>
        </is>
      </c>
      <c r="D40" t="n">
        <v>25.18</v>
      </c>
      <c r="E40" t="n">
        <v>61.42</v>
      </c>
      <c r="F40" t="n">
        <v>0.37</v>
      </c>
      <c r="G40" t="n">
        <v>43.5</v>
      </c>
      <c r="H40" t="n">
        <v>-2.76</v>
      </c>
      <c r="I40" t="n">
        <v>60</v>
      </c>
      <c r="J40" t="n">
        <v>70</v>
      </c>
      <c r="K40" t="n">
        <v>100</v>
      </c>
      <c r="L40" t="b">
        <v>0</v>
      </c>
      <c r="M40" t="b">
        <v>0</v>
      </c>
      <c r="N40" t="inlineStr">
        <is>
          <t>HIGH CONVICTION</t>
        </is>
      </c>
    </row>
    <row r="41">
      <c r="A41" t="n">
        <v>40</v>
      </c>
      <c r="B41" t="inlineStr">
        <is>
          <t>CHEF</t>
        </is>
      </c>
      <c r="C41" t="inlineStr">
        <is>
          <t>2026-07-30</t>
        </is>
      </c>
      <c r="D41" t="n">
        <v>110.38</v>
      </c>
      <c r="E41" t="n">
        <v>71.7</v>
      </c>
      <c r="F41" t="n">
        <v>0.91</v>
      </c>
      <c r="G41" t="n">
        <v>42.24</v>
      </c>
      <c r="H41" t="n">
        <v>0</v>
      </c>
      <c r="I41" t="n">
        <v>60</v>
      </c>
      <c r="J41" t="n">
        <v>45</v>
      </c>
      <c r="K41" t="n">
        <v>100</v>
      </c>
      <c r="L41" t="b">
        <v>0</v>
      </c>
      <c r="M41" t="b">
        <v>0</v>
      </c>
      <c r="N41" t="inlineStr">
        <is>
          <t>HIGH CONVICTION</t>
        </is>
      </c>
    </row>
    <row r="42">
      <c r="A42" t="n">
        <v>41</v>
      </c>
      <c r="B42" t="inlineStr">
        <is>
          <t>LILAK</t>
        </is>
      </c>
      <c r="C42" t="inlineStr">
        <is>
          <t>2026-07-30</t>
        </is>
      </c>
      <c r="D42" t="n">
        <v>7.99</v>
      </c>
      <c r="E42" t="n">
        <v>65.58</v>
      </c>
      <c r="F42" t="n">
        <v>0.44</v>
      </c>
      <c r="G42" t="n">
        <v>41.62</v>
      </c>
      <c r="H42" t="n">
        <v>-4.59</v>
      </c>
      <c r="I42" t="n">
        <v>60</v>
      </c>
      <c r="J42" t="n">
        <v>45</v>
      </c>
      <c r="K42" t="n">
        <v>100</v>
      </c>
      <c r="L42" t="b">
        <v>0</v>
      </c>
      <c r="M42" t="b">
        <v>0</v>
      </c>
      <c r="N42" t="inlineStr">
        <is>
          <t>HIGH CONVICTION</t>
        </is>
      </c>
    </row>
    <row r="43">
      <c r="A43" t="n">
        <v>42</v>
      </c>
      <c r="B43" t="inlineStr">
        <is>
          <t>NRIX</t>
        </is>
      </c>
      <c r="C43" t="inlineStr">
        <is>
          <t>2026-07-30</t>
        </is>
      </c>
      <c r="D43" t="n">
        <v>23.54</v>
      </c>
      <c r="E43" t="n">
        <v>54.36</v>
      </c>
      <c r="F43" t="n">
        <v>0.64</v>
      </c>
      <c r="G43" t="n">
        <v>40.96</v>
      </c>
      <c r="H43" t="n">
        <v>-4.66</v>
      </c>
      <c r="I43" t="n">
        <v>50</v>
      </c>
      <c r="J43" t="n">
        <v>85</v>
      </c>
      <c r="K43" t="n">
        <v>100</v>
      </c>
      <c r="L43" t="b">
        <v>0</v>
      </c>
      <c r="M43" t="b">
        <v>0</v>
      </c>
      <c r="N43" t="inlineStr">
        <is>
          <t>HIGH CONVICTION</t>
        </is>
      </c>
    </row>
    <row r="44">
      <c r="A44" t="n">
        <v>43</v>
      </c>
      <c r="B44" t="inlineStr">
        <is>
          <t>KRYS</t>
        </is>
      </c>
      <c r="C44" t="inlineStr">
        <is>
          <t>2026-07-30</t>
        </is>
      </c>
      <c r="D44" t="n">
        <v>366.69</v>
      </c>
      <c r="E44" t="n">
        <v>50.35</v>
      </c>
      <c r="F44" t="n">
        <v>0.31</v>
      </c>
      <c r="G44" t="n">
        <v>39.82</v>
      </c>
      <c r="H44" t="n">
        <v>-3.03</v>
      </c>
      <c r="I44" t="n">
        <v>60</v>
      </c>
      <c r="J44" t="n">
        <v>70</v>
      </c>
      <c r="K44" t="n">
        <v>100</v>
      </c>
      <c r="L44" t="b">
        <v>0</v>
      </c>
      <c r="M44" t="b">
        <v>0</v>
      </c>
      <c r="N44" t="inlineStr">
        <is>
          <t>HIGH CONVICTION</t>
        </is>
      </c>
    </row>
    <row r="45">
      <c r="A45" t="n">
        <v>44</v>
      </c>
      <c r="B45" t="inlineStr">
        <is>
          <t>THRM</t>
        </is>
      </c>
      <c r="C45" t="inlineStr">
        <is>
          <t>2026-07-30</t>
        </is>
      </c>
      <c r="D45" t="n">
        <v>42.08</v>
      </c>
      <c r="E45" t="n">
        <v>65.84999999999999</v>
      </c>
      <c r="F45" t="n">
        <v>1.22</v>
      </c>
      <c r="G45" t="n">
        <v>39.8</v>
      </c>
      <c r="H45" t="n">
        <v>-7.74</v>
      </c>
      <c r="I45" t="n">
        <v>60</v>
      </c>
      <c r="J45" t="n">
        <v>60</v>
      </c>
      <c r="K45" t="n">
        <v>100</v>
      </c>
      <c r="L45" t="b">
        <v>0</v>
      </c>
      <c r="M45" t="b">
        <v>0</v>
      </c>
      <c r="N45" t="inlineStr">
        <is>
          <t>HIGH CONVICTION</t>
        </is>
      </c>
    </row>
    <row r="46">
      <c r="A46" t="n">
        <v>45</v>
      </c>
      <c r="B46" t="inlineStr">
        <is>
          <t>SAFT</t>
        </is>
      </c>
      <c r="C46" t="inlineStr">
        <is>
          <t>2026-07-30</t>
        </is>
      </c>
      <c r="D46" t="n">
        <v>103.18</v>
      </c>
      <c r="E46" t="n">
        <v>86.81</v>
      </c>
      <c r="F46" t="n">
        <v>0.75</v>
      </c>
      <c r="G46" t="n">
        <v>39.1</v>
      </c>
      <c r="H46" t="n">
        <v>-0.02</v>
      </c>
      <c r="I46" t="n">
        <v>60</v>
      </c>
      <c r="J46" t="n">
        <v>45</v>
      </c>
      <c r="K46" t="n">
        <v>100</v>
      </c>
      <c r="L46" t="b">
        <v>0</v>
      </c>
      <c r="M46" t="b">
        <v>0</v>
      </c>
      <c r="N46" t="inlineStr">
        <is>
          <t>HIGH CONVICTION</t>
        </is>
      </c>
    </row>
    <row r="47">
      <c r="A47" t="n">
        <v>46</v>
      </c>
      <c r="B47" t="inlineStr">
        <is>
          <t>PTGX</t>
        </is>
      </c>
      <c r="C47" t="inlineStr">
        <is>
          <t>2026-07-30</t>
        </is>
      </c>
      <c r="D47" t="n">
        <v>137.49</v>
      </c>
      <c r="E47" t="n">
        <v>56.92</v>
      </c>
      <c r="F47" t="n">
        <v>0.43</v>
      </c>
      <c r="G47" t="n">
        <v>38.92</v>
      </c>
      <c r="H47" t="n">
        <v>-2.43</v>
      </c>
      <c r="I47" t="n">
        <v>60</v>
      </c>
      <c r="J47" t="n">
        <v>85</v>
      </c>
      <c r="K47" t="n">
        <v>100</v>
      </c>
      <c r="L47" t="b">
        <v>0</v>
      </c>
      <c r="M47" t="b">
        <v>0</v>
      </c>
      <c r="N47" t="inlineStr">
        <is>
          <t>HIGH CONVICTION</t>
        </is>
      </c>
    </row>
    <row r="48">
      <c r="A48" t="n">
        <v>47</v>
      </c>
      <c r="B48" t="inlineStr">
        <is>
          <t>NBIX</t>
        </is>
      </c>
      <c r="C48" t="inlineStr">
        <is>
          <t>2026-07-30</t>
        </is>
      </c>
      <c r="D48" t="n">
        <v>182.52</v>
      </c>
      <c r="E48" t="n">
        <v>57.8</v>
      </c>
      <c r="F48" t="n">
        <v>0.85</v>
      </c>
      <c r="G48" t="n">
        <v>38.62</v>
      </c>
      <c r="H48" t="n">
        <v>-0.17</v>
      </c>
      <c r="I48" t="n">
        <v>60</v>
      </c>
      <c r="J48" t="n">
        <v>70</v>
      </c>
      <c r="K48" t="n">
        <v>100</v>
      </c>
      <c r="L48" t="b">
        <v>0</v>
      </c>
      <c r="M48" t="b">
        <v>0</v>
      </c>
      <c r="N48" t="inlineStr">
        <is>
          <t>HIGH CONVICTION</t>
        </is>
      </c>
    </row>
    <row r="49">
      <c r="A49" t="n">
        <v>48</v>
      </c>
      <c r="B49" t="inlineStr">
        <is>
          <t>VCEL</t>
        </is>
      </c>
      <c r="C49" t="inlineStr">
        <is>
          <t>2026-07-30</t>
        </is>
      </c>
      <c r="D49" t="n">
        <v>47.72</v>
      </c>
      <c r="E49" t="n">
        <v>53.36</v>
      </c>
      <c r="F49" t="n">
        <v>1.28</v>
      </c>
      <c r="G49" t="n">
        <v>37.4</v>
      </c>
      <c r="H49" t="n">
        <v>-1.22</v>
      </c>
      <c r="I49" t="n">
        <v>60</v>
      </c>
      <c r="J49" t="n">
        <v>100</v>
      </c>
      <c r="K49" t="n">
        <v>100</v>
      </c>
      <c r="L49" t="b">
        <v>0</v>
      </c>
      <c r="M49" t="b">
        <v>0</v>
      </c>
      <c r="N49" t="inlineStr">
        <is>
          <t>HIGH CONVICTION</t>
        </is>
      </c>
    </row>
    <row r="50">
      <c r="A50" t="n">
        <v>49</v>
      </c>
      <c r="B50" t="inlineStr">
        <is>
          <t>FNKO</t>
        </is>
      </c>
      <c r="C50" t="inlineStr">
        <is>
          <t>2026-07-30</t>
        </is>
      </c>
      <c r="D50" t="n">
        <v>6.01</v>
      </c>
      <c r="E50" t="n">
        <v>59</v>
      </c>
      <c r="F50" t="n">
        <v>0.4</v>
      </c>
      <c r="G50" t="n">
        <v>36.28</v>
      </c>
      <c r="H50" t="n">
        <v>-5.35</v>
      </c>
      <c r="I50" t="n">
        <v>60</v>
      </c>
      <c r="J50" t="n">
        <v>70</v>
      </c>
      <c r="K50" t="n">
        <v>100</v>
      </c>
      <c r="L50" t="b">
        <v>0</v>
      </c>
      <c r="M50" t="b">
        <v>0</v>
      </c>
      <c r="N50" t="inlineStr">
        <is>
          <t>HIGH CONVICTION</t>
        </is>
      </c>
    </row>
    <row r="51">
      <c r="A51" t="n">
        <v>50</v>
      </c>
      <c r="B51" t="inlineStr">
        <is>
          <t>ESTA</t>
        </is>
      </c>
      <c r="C51" t="inlineStr">
        <is>
          <t>2026-07-30</t>
        </is>
      </c>
      <c r="D51" t="n">
        <v>93.43000000000001</v>
      </c>
      <c r="E51" t="n">
        <v>64.81</v>
      </c>
      <c r="F51" t="n">
        <v>0.62</v>
      </c>
      <c r="G51" t="n">
        <v>36.13</v>
      </c>
      <c r="H51" t="n">
        <v>-2.33</v>
      </c>
      <c r="I51" t="n">
        <v>60</v>
      </c>
      <c r="J51" t="n">
        <v>85</v>
      </c>
      <c r="K51" t="n">
        <v>100</v>
      </c>
      <c r="L51" t="b">
        <v>0</v>
      </c>
      <c r="M51" t="b">
        <v>0</v>
      </c>
      <c r="N51" t="inlineStr">
        <is>
          <t>HIGH CONVICTION</t>
        </is>
      </c>
    </row>
    <row r="52">
      <c r="A52" t="n">
        <v>51</v>
      </c>
      <c r="B52" t="inlineStr">
        <is>
          <t>GDRX</t>
        </is>
      </c>
      <c r="C52" t="inlineStr">
        <is>
          <t>2026-07-30</t>
        </is>
      </c>
      <c r="D52" t="n">
        <v>3.2</v>
      </c>
      <c r="E52" t="n">
        <v>64.04000000000001</v>
      </c>
      <c r="F52" t="n">
        <v>1.74</v>
      </c>
      <c r="G52" t="n">
        <v>35.59</v>
      </c>
      <c r="H52" t="n">
        <v>-37.5</v>
      </c>
      <c r="I52" t="n">
        <v>60</v>
      </c>
      <c r="J52" t="n">
        <v>85</v>
      </c>
      <c r="K52" t="n">
        <v>100</v>
      </c>
      <c r="L52" t="b">
        <v>0</v>
      </c>
      <c r="M52" t="b">
        <v>0</v>
      </c>
      <c r="N52" t="inlineStr">
        <is>
          <t>HIGH CONVICTION</t>
        </is>
      </c>
    </row>
    <row r="53">
      <c r="A53" t="n">
        <v>52</v>
      </c>
      <c r="B53" t="inlineStr">
        <is>
          <t>CMCO</t>
        </is>
      </c>
      <c r="C53" t="inlineStr">
        <is>
          <t>2026-07-30</t>
        </is>
      </c>
      <c r="D53" t="n">
        <v>20.78</v>
      </c>
      <c r="E53" t="n">
        <v>79.55</v>
      </c>
      <c r="F53" t="n">
        <v>2.97</v>
      </c>
      <c r="G53" t="n">
        <v>35.11</v>
      </c>
      <c r="H53" t="n">
        <v>-10</v>
      </c>
      <c r="I53" t="n">
        <v>50</v>
      </c>
      <c r="J53" t="n">
        <v>60</v>
      </c>
      <c r="K53" t="n">
        <v>100</v>
      </c>
      <c r="L53" t="b">
        <v>0</v>
      </c>
      <c r="M53" t="b">
        <v>0</v>
      </c>
      <c r="N53" t="inlineStr">
        <is>
          <t>HIGH CONVICTION</t>
        </is>
      </c>
    </row>
    <row r="54">
      <c r="A54" t="n">
        <v>53</v>
      </c>
      <c r="B54" t="inlineStr">
        <is>
          <t>TVTX</t>
        </is>
      </c>
      <c r="C54" t="inlineStr">
        <is>
          <t>2026-07-30</t>
        </is>
      </c>
      <c r="D54" t="n">
        <v>56.83</v>
      </c>
      <c r="E54" t="n">
        <v>51.08</v>
      </c>
      <c r="F54" t="n">
        <v>0.46</v>
      </c>
      <c r="G54" t="n">
        <v>34.92</v>
      </c>
      <c r="H54" t="n">
        <v>-3.73</v>
      </c>
      <c r="I54" t="n">
        <v>60</v>
      </c>
      <c r="J54" t="n">
        <v>85</v>
      </c>
      <c r="K54" t="n">
        <v>100</v>
      </c>
      <c r="L54" t="b">
        <v>0</v>
      </c>
      <c r="M54" t="b">
        <v>0</v>
      </c>
      <c r="N54" t="inlineStr">
        <is>
          <t>HIGH CONVICTION</t>
        </is>
      </c>
    </row>
    <row r="55">
      <c r="A55" t="n">
        <v>54</v>
      </c>
      <c r="B55" t="inlineStr">
        <is>
          <t>ANGO</t>
        </is>
      </c>
      <c r="C55" t="inlineStr">
        <is>
          <t>2026-07-30</t>
        </is>
      </c>
      <c r="D55" t="n">
        <v>14.76</v>
      </c>
      <c r="E55" t="n">
        <v>67.98</v>
      </c>
      <c r="F55" t="n">
        <v>0.28</v>
      </c>
      <c r="G55" t="n">
        <v>34.87</v>
      </c>
      <c r="H55" t="n">
        <v>0</v>
      </c>
      <c r="I55" t="n">
        <v>60</v>
      </c>
      <c r="J55" t="n">
        <v>45</v>
      </c>
      <c r="K55" t="n">
        <v>100</v>
      </c>
      <c r="L55" t="b">
        <v>0</v>
      </c>
      <c r="M55" t="b">
        <v>0</v>
      </c>
      <c r="N55" t="inlineStr">
        <is>
          <t>HIGH CONVICTION</t>
        </is>
      </c>
    </row>
    <row r="56">
      <c r="A56" t="n">
        <v>55</v>
      </c>
      <c r="B56" t="inlineStr">
        <is>
          <t>ACIW</t>
        </is>
      </c>
      <c r="C56" t="inlineStr">
        <is>
          <t>2026-07-30</t>
        </is>
      </c>
      <c r="D56" t="n">
        <v>58.06</v>
      </c>
      <c r="E56" t="n">
        <v>54.88</v>
      </c>
      <c r="F56" t="n">
        <v>0.39</v>
      </c>
      <c r="G56" t="n">
        <v>34.34</v>
      </c>
      <c r="H56" t="n">
        <v>-3.52</v>
      </c>
      <c r="I56" t="n">
        <v>60</v>
      </c>
      <c r="J56" t="n">
        <v>85</v>
      </c>
      <c r="K56" t="n">
        <v>100</v>
      </c>
      <c r="L56" t="b">
        <v>0</v>
      </c>
      <c r="M56" t="b">
        <v>0</v>
      </c>
      <c r="N56" t="inlineStr">
        <is>
          <t>HIGH CONVICTION</t>
        </is>
      </c>
    </row>
    <row r="57">
      <c r="A57" t="n">
        <v>56</v>
      </c>
      <c r="B57" t="inlineStr">
        <is>
          <t>OSPN</t>
        </is>
      </c>
      <c r="C57" t="inlineStr">
        <is>
          <t>2026-07-30</t>
        </is>
      </c>
      <c r="D57" t="n">
        <v>15.2</v>
      </c>
      <c r="E57" t="n">
        <v>50.49</v>
      </c>
      <c r="F57" t="n">
        <v>0.76</v>
      </c>
      <c r="G57" t="n">
        <v>32.69</v>
      </c>
      <c r="H57" t="n">
        <v>-3.77</v>
      </c>
      <c r="I57" t="n">
        <v>60</v>
      </c>
      <c r="J57" t="n">
        <v>85</v>
      </c>
      <c r="K57" t="n">
        <v>100</v>
      </c>
      <c r="L57" t="b">
        <v>0</v>
      </c>
      <c r="M57" t="b">
        <v>0</v>
      </c>
      <c r="N57" t="inlineStr">
        <is>
          <t>HIGH CONVICTION</t>
        </is>
      </c>
    </row>
    <row r="58">
      <c r="A58" t="n">
        <v>57</v>
      </c>
      <c r="B58" t="inlineStr">
        <is>
          <t>DLTR</t>
        </is>
      </c>
      <c r="C58" t="inlineStr">
        <is>
          <t>2026-07-30</t>
        </is>
      </c>
      <c r="D58" t="n">
        <v>128.35</v>
      </c>
      <c r="E58" t="n">
        <v>55.58</v>
      </c>
      <c r="F58" t="n">
        <v>0.21</v>
      </c>
      <c r="G58" t="n">
        <v>32.16</v>
      </c>
      <c r="H58" t="n">
        <v>-9.109999999999999</v>
      </c>
      <c r="I58" t="n">
        <v>60</v>
      </c>
      <c r="J58" t="n">
        <v>70</v>
      </c>
      <c r="K58" t="n">
        <v>100</v>
      </c>
      <c r="L58" t="b">
        <v>0</v>
      </c>
      <c r="M58" t="b">
        <v>0</v>
      </c>
      <c r="N58" t="inlineStr">
        <is>
          <t>HIGH CONVICTION</t>
        </is>
      </c>
    </row>
    <row r="59">
      <c r="A59" t="n">
        <v>58</v>
      </c>
      <c r="B59" t="inlineStr">
        <is>
          <t>DBX</t>
        </is>
      </c>
      <c r="C59" t="inlineStr">
        <is>
          <t>2026-07-30</t>
        </is>
      </c>
      <c r="D59" t="n">
        <v>32.05</v>
      </c>
      <c r="E59" t="n">
        <v>64.59</v>
      </c>
      <c r="F59" t="n">
        <v>0.74</v>
      </c>
      <c r="G59" t="n">
        <v>31.95</v>
      </c>
      <c r="H59" t="n">
        <v>-3.84</v>
      </c>
      <c r="I59" t="n">
        <v>60</v>
      </c>
      <c r="J59" t="n">
        <v>70</v>
      </c>
      <c r="K59" t="n">
        <v>100</v>
      </c>
      <c r="L59" t="b">
        <v>0</v>
      </c>
      <c r="M59" t="b">
        <v>0</v>
      </c>
      <c r="N59" t="inlineStr">
        <is>
          <t>HIGH CONVICTION</t>
        </is>
      </c>
    </row>
    <row r="60">
      <c r="A60" t="n">
        <v>59</v>
      </c>
      <c r="B60" t="inlineStr">
        <is>
          <t>RVMD</t>
        </is>
      </c>
      <c r="C60" t="inlineStr">
        <is>
          <t>2026-07-30</t>
        </is>
      </c>
      <c r="D60" t="n">
        <v>190.15</v>
      </c>
      <c r="E60" t="n">
        <v>53.32</v>
      </c>
      <c r="F60" t="n">
        <v>0.63</v>
      </c>
      <c r="G60" t="n">
        <v>31.94</v>
      </c>
      <c r="H60" t="n">
        <v>-1.28</v>
      </c>
      <c r="I60" t="n">
        <v>60</v>
      </c>
      <c r="J60" t="n">
        <v>85</v>
      </c>
      <c r="K60" t="n">
        <v>100</v>
      </c>
      <c r="L60" t="b">
        <v>0</v>
      </c>
      <c r="M60" t="b">
        <v>0</v>
      </c>
      <c r="N60" t="inlineStr">
        <is>
          <t>HIGH CONVICTION</t>
        </is>
      </c>
    </row>
    <row r="61">
      <c r="A61" t="n">
        <v>60</v>
      </c>
      <c r="B61" t="inlineStr">
        <is>
          <t>HALO</t>
        </is>
      </c>
      <c r="C61" t="inlineStr">
        <is>
          <t>2026-07-30</t>
        </is>
      </c>
      <c r="D61" t="n">
        <v>83.09999999999999</v>
      </c>
      <c r="E61" t="n">
        <v>75</v>
      </c>
      <c r="F61" t="n">
        <v>0.54</v>
      </c>
      <c r="G61" t="n">
        <v>30.54</v>
      </c>
      <c r="H61" t="n">
        <v>-0.42</v>
      </c>
      <c r="I61" t="n">
        <v>60</v>
      </c>
      <c r="J61" t="n">
        <v>45</v>
      </c>
      <c r="K61" t="n">
        <v>100</v>
      </c>
      <c r="L61" t="b">
        <v>0</v>
      </c>
      <c r="M61" t="b">
        <v>0</v>
      </c>
      <c r="N61" t="inlineStr">
        <is>
          <t>HIGH CONVICTION</t>
        </is>
      </c>
    </row>
    <row r="62">
      <c r="A62" t="n">
        <v>61</v>
      </c>
      <c r="B62" t="inlineStr">
        <is>
          <t>TECH</t>
        </is>
      </c>
      <c r="C62" t="inlineStr">
        <is>
          <t>2026-07-30</t>
        </is>
      </c>
      <c r="D62" t="n">
        <v>72.04000000000001</v>
      </c>
      <c r="E62" t="n">
        <v>65.22</v>
      </c>
      <c r="F62" t="n">
        <v>0.75</v>
      </c>
      <c r="G62" t="n">
        <v>30.46</v>
      </c>
      <c r="H62" t="n">
        <v>-0.12</v>
      </c>
      <c r="I62" t="n">
        <v>60</v>
      </c>
      <c r="J62" t="n">
        <v>60</v>
      </c>
      <c r="K62" t="n">
        <v>100</v>
      </c>
      <c r="L62" t="b">
        <v>0</v>
      </c>
      <c r="M62" t="b">
        <v>0</v>
      </c>
      <c r="N62" t="inlineStr">
        <is>
          <t>HIGH CONVICTION</t>
        </is>
      </c>
    </row>
    <row r="63">
      <c r="A63" t="n">
        <v>62</v>
      </c>
      <c r="B63" t="inlineStr">
        <is>
          <t>AMTB</t>
        </is>
      </c>
      <c r="C63" t="inlineStr">
        <is>
          <t>2026-07-30</t>
        </is>
      </c>
      <c r="D63" t="n">
        <v>29.7</v>
      </c>
      <c r="E63" t="n">
        <v>74.84</v>
      </c>
      <c r="F63" t="n">
        <v>0.51</v>
      </c>
      <c r="G63" t="n">
        <v>29.84</v>
      </c>
      <c r="H63" t="n">
        <v>-2.86</v>
      </c>
      <c r="I63" t="n">
        <v>60</v>
      </c>
      <c r="J63" t="n">
        <v>45</v>
      </c>
      <c r="K63" t="n">
        <v>100</v>
      </c>
      <c r="L63" t="b">
        <v>0</v>
      </c>
      <c r="M63" t="b">
        <v>0</v>
      </c>
      <c r="N63" t="inlineStr">
        <is>
          <t>HIGH CONVICTION</t>
        </is>
      </c>
    </row>
    <row r="64">
      <c r="A64" t="n">
        <v>63</v>
      </c>
      <c r="B64" t="inlineStr">
        <is>
          <t>ETSY</t>
        </is>
      </c>
      <c r="C64" t="inlineStr">
        <is>
          <t>2026-07-30</t>
        </is>
      </c>
      <c r="D64" t="n">
        <v>83.34999999999999</v>
      </c>
      <c r="E64" t="n">
        <v>55.25</v>
      </c>
      <c r="F64" t="n">
        <v>0.44</v>
      </c>
      <c r="G64" t="n">
        <v>29.55</v>
      </c>
      <c r="H64" t="n">
        <v>-3.61</v>
      </c>
      <c r="I64" t="n">
        <v>60</v>
      </c>
      <c r="J64" t="n">
        <v>85</v>
      </c>
      <c r="K64" t="n">
        <v>100</v>
      </c>
      <c r="L64" t="b">
        <v>0</v>
      </c>
      <c r="M64" t="b">
        <v>0</v>
      </c>
      <c r="N64" t="inlineStr">
        <is>
          <t>HIGH CONVICTION</t>
        </is>
      </c>
    </row>
    <row r="65">
      <c r="A65" t="n">
        <v>64</v>
      </c>
      <c r="B65" t="inlineStr">
        <is>
          <t>TXRH</t>
        </is>
      </c>
      <c r="C65" t="inlineStr">
        <is>
          <t>2026-07-30</t>
        </is>
      </c>
      <c r="D65" t="n">
        <v>206.97</v>
      </c>
      <c r="E65" t="n">
        <v>71.25</v>
      </c>
      <c r="F65" t="n">
        <v>0.55</v>
      </c>
      <c r="G65" t="n">
        <v>29.11</v>
      </c>
      <c r="H65" t="n">
        <v>-1.05</v>
      </c>
      <c r="I65" t="n">
        <v>60</v>
      </c>
      <c r="J65" t="n">
        <v>45</v>
      </c>
      <c r="K65" t="n">
        <v>100</v>
      </c>
      <c r="L65" t="b">
        <v>0</v>
      </c>
      <c r="M65" t="b">
        <v>0</v>
      </c>
      <c r="N65" t="inlineStr">
        <is>
          <t>HIGH CONVICTION</t>
        </is>
      </c>
    </row>
    <row r="66">
      <c r="A66" t="n">
        <v>65</v>
      </c>
      <c r="B66" t="inlineStr">
        <is>
          <t>JAZZ</t>
        </is>
      </c>
      <c r="C66" t="inlineStr">
        <is>
          <t>2026-07-30</t>
        </is>
      </c>
      <c r="D66" t="n">
        <v>258.61</v>
      </c>
      <c r="E66" t="n">
        <v>65.37</v>
      </c>
      <c r="F66" t="n">
        <v>0.52</v>
      </c>
      <c r="G66" t="n">
        <v>27.38</v>
      </c>
      <c r="H66" t="n">
        <v>0</v>
      </c>
      <c r="I66" t="n">
        <v>60</v>
      </c>
      <c r="J66" t="n">
        <v>45</v>
      </c>
      <c r="K66" t="n">
        <v>100</v>
      </c>
      <c r="L66" t="b">
        <v>0</v>
      </c>
      <c r="M66" t="b">
        <v>0</v>
      </c>
      <c r="N66" t="inlineStr">
        <is>
          <t>HIGH CONVICTION</t>
        </is>
      </c>
    </row>
    <row r="67">
      <c r="A67" t="n">
        <v>66</v>
      </c>
      <c r="B67" t="inlineStr">
        <is>
          <t>VCTR</t>
        </is>
      </c>
      <c r="C67" t="inlineStr">
        <is>
          <t>2026-07-30</t>
        </is>
      </c>
      <c r="D67" t="n">
        <v>98.93000000000001</v>
      </c>
      <c r="E67" t="n">
        <v>64.95</v>
      </c>
      <c r="F67" t="n">
        <v>0.32</v>
      </c>
      <c r="G67" t="n">
        <v>26.72</v>
      </c>
      <c r="H67" t="n">
        <v>-1.64</v>
      </c>
      <c r="I67" t="n">
        <v>60</v>
      </c>
      <c r="J67" t="n">
        <v>70</v>
      </c>
      <c r="K67" t="n">
        <v>100</v>
      </c>
      <c r="L67" t="b">
        <v>0</v>
      </c>
      <c r="M67" t="b">
        <v>0</v>
      </c>
      <c r="N67" t="inlineStr">
        <is>
          <t>HIGH CONVICTION</t>
        </is>
      </c>
    </row>
    <row r="68">
      <c r="A68" t="n">
        <v>67</v>
      </c>
      <c r="B68" t="inlineStr">
        <is>
          <t>CLBK</t>
        </is>
      </c>
      <c r="C68" t="inlineStr">
        <is>
          <t>2026-07-30</t>
        </is>
      </c>
      <c r="D68" t="n">
        <v>10.94</v>
      </c>
      <c r="E68" t="n">
        <v>79.79000000000001</v>
      </c>
      <c r="F68" t="n">
        <v>0.36</v>
      </c>
      <c r="G68" t="n">
        <v>25.22</v>
      </c>
      <c r="H68" t="n">
        <v>-1.72</v>
      </c>
      <c r="I68" t="n">
        <v>60</v>
      </c>
      <c r="J68" t="n">
        <v>45</v>
      </c>
      <c r="K68" t="n">
        <v>100</v>
      </c>
      <c r="L68" t="b">
        <v>0</v>
      </c>
      <c r="M68" t="b">
        <v>0</v>
      </c>
      <c r="N68" t="inlineStr">
        <is>
          <t>HIGH CONVICTION</t>
        </is>
      </c>
    </row>
    <row r="69">
      <c r="A69" t="n">
        <v>68</v>
      </c>
      <c r="B69" t="inlineStr">
        <is>
          <t>ROKU</t>
        </is>
      </c>
      <c r="C69" t="inlineStr">
        <is>
          <t>2026-07-30</t>
        </is>
      </c>
      <c r="D69" t="n">
        <v>145.32</v>
      </c>
      <c r="E69" t="n">
        <v>69.94</v>
      </c>
      <c r="F69" t="n">
        <v>0.33</v>
      </c>
      <c r="G69" t="n">
        <v>24.67</v>
      </c>
      <c r="H69" t="n">
        <v>-0.01</v>
      </c>
      <c r="I69" t="n">
        <v>60</v>
      </c>
      <c r="J69" t="n">
        <v>60</v>
      </c>
      <c r="K69" t="n">
        <v>100</v>
      </c>
      <c r="L69" t="b">
        <v>0</v>
      </c>
      <c r="M69" t="b">
        <v>0</v>
      </c>
      <c r="N69" t="inlineStr">
        <is>
          <t>HIGH CONVICTION</t>
        </is>
      </c>
    </row>
    <row r="70">
      <c r="A70" t="n">
        <v>69</v>
      </c>
      <c r="B70" t="inlineStr">
        <is>
          <t>SHOO</t>
        </is>
      </c>
      <c r="C70" t="inlineStr">
        <is>
          <t>2026-07-30</t>
        </is>
      </c>
      <c r="D70" t="n">
        <v>46.4</v>
      </c>
      <c r="E70" t="n">
        <v>72.36</v>
      </c>
      <c r="F70" t="n">
        <v>1.33</v>
      </c>
      <c r="G70" t="n">
        <v>24.11</v>
      </c>
      <c r="H70" t="n">
        <v>0</v>
      </c>
      <c r="I70" t="n">
        <v>50</v>
      </c>
      <c r="J70" t="n">
        <v>60</v>
      </c>
      <c r="K70" t="n">
        <v>100</v>
      </c>
      <c r="L70" t="b">
        <v>0</v>
      </c>
      <c r="M70" t="b">
        <v>0</v>
      </c>
      <c r="N70" t="inlineStr">
        <is>
          <t>HIGH CONVICTION</t>
        </is>
      </c>
    </row>
    <row r="71">
      <c r="A71" t="n">
        <v>70</v>
      </c>
      <c r="B71" t="inlineStr">
        <is>
          <t>HURN</t>
        </is>
      </c>
      <c r="C71" t="inlineStr">
        <is>
          <t>2026-07-30</t>
        </is>
      </c>
      <c r="D71" t="n">
        <v>162</v>
      </c>
      <c r="E71" t="n">
        <v>79.13</v>
      </c>
      <c r="F71" t="n">
        <v>2.06</v>
      </c>
      <c r="G71" t="n">
        <v>23.98</v>
      </c>
      <c r="H71" t="n">
        <v>-12.71</v>
      </c>
      <c r="I71" t="n">
        <v>50</v>
      </c>
      <c r="J71" t="n">
        <v>60</v>
      </c>
      <c r="K71" t="n">
        <v>100</v>
      </c>
      <c r="L71" t="b">
        <v>0</v>
      </c>
      <c r="M71" t="b">
        <v>0</v>
      </c>
      <c r="N71" t="inlineStr">
        <is>
          <t>HIGH CONVICTION</t>
        </is>
      </c>
    </row>
    <row r="72">
      <c r="A72" t="n">
        <v>71</v>
      </c>
      <c r="B72" t="inlineStr">
        <is>
          <t>IMMR</t>
        </is>
      </c>
      <c r="C72" t="inlineStr">
        <is>
          <t>2026-07-30</t>
        </is>
      </c>
      <c r="D72" t="n">
        <v>7.49</v>
      </c>
      <c r="E72" t="n">
        <v>66.78</v>
      </c>
      <c r="F72" t="n">
        <v>0.5600000000000001</v>
      </c>
      <c r="G72" t="n">
        <v>23.66</v>
      </c>
      <c r="H72" t="n">
        <v>-3.17</v>
      </c>
      <c r="I72" t="n">
        <v>60</v>
      </c>
      <c r="J72" t="n">
        <v>45</v>
      </c>
      <c r="K72" t="n">
        <v>100</v>
      </c>
      <c r="L72" t="b">
        <v>0</v>
      </c>
      <c r="M72" t="b">
        <v>0</v>
      </c>
      <c r="N72" t="inlineStr">
        <is>
          <t>HIGH CONVICTION</t>
        </is>
      </c>
    </row>
    <row r="73">
      <c r="A73" t="n">
        <v>72</v>
      </c>
      <c r="B73" t="inlineStr">
        <is>
          <t>NBTB</t>
        </is>
      </c>
      <c r="C73" t="inlineStr">
        <is>
          <t>2026-07-30</t>
        </is>
      </c>
      <c r="D73" t="n">
        <v>53.44</v>
      </c>
      <c r="E73" t="n">
        <v>68.58</v>
      </c>
      <c r="F73" t="n">
        <v>0.54</v>
      </c>
      <c r="G73" t="n">
        <v>23.31</v>
      </c>
      <c r="H73" t="n">
        <v>-1.5</v>
      </c>
      <c r="I73" t="n">
        <v>60</v>
      </c>
      <c r="J73" t="n">
        <v>45</v>
      </c>
      <c r="K73" t="n">
        <v>100</v>
      </c>
      <c r="L73" t="b">
        <v>0</v>
      </c>
      <c r="M73" t="b">
        <v>0</v>
      </c>
      <c r="N73" t="inlineStr">
        <is>
          <t>HIGH CONVICTION</t>
        </is>
      </c>
    </row>
    <row r="74">
      <c r="A74" t="n">
        <v>73</v>
      </c>
      <c r="B74" t="inlineStr">
        <is>
          <t>PEBO</t>
        </is>
      </c>
      <c r="C74" t="inlineStr">
        <is>
          <t>2026-07-30</t>
        </is>
      </c>
      <c r="D74" t="n">
        <v>41.88</v>
      </c>
      <c r="E74" t="n">
        <v>78.36</v>
      </c>
      <c r="F74" t="n">
        <v>0.5</v>
      </c>
      <c r="G74" t="n">
        <v>23.24</v>
      </c>
      <c r="H74" t="n">
        <v>-0.83</v>
      </c>
      <c r="I74" t="n">
        <v>60</v>
      </c>
      <c r="J74" t="n">
        <v>45</v>
      </c>
      <c r="K74" t="n">
        <v>100</v>
      </c>
      <c r="L74" t="b">
        <v>0</v>
      </c>
      <c r="M74" t="b">
        <v>0</v>
      </c>
      <c r="N74" t="inlineStr">
        <is>
          <t>HIGH CONVICTION</t>
        </is>
      </c>
    </row>
    <row r="75">
      <c r="A75" t="n">
        <v>74</v>
      </c>
      <c r="B75" t="inlineStr">
        <is>
          <t>HQY</t>
        </is>
      </c>
      <c r="C75" t="inlineStr">
        <is>
          <t>2026-07-30</t>
        </is>
      </c>
      <c r="D75" t="n">
        <v>101.06</v>
      </c>
      <c r="E75" t="n">
        <v>62.68</v>
      </c>
      <c r="F75" t="n">
        <v>0.46</v>
      </c>
      <c r="G75" t="n">
        <v>23.2</v>
      </c>
      <c r="H75" t="n">
        <v>-4.15</v>
      </c>
      <c r="I75" t="n">
        <v>60</v>
      </c>
      <c r="J75" t="n">
        <v>70</v>
      </c>
      <c r="K75" t="n">
        <v>100</v>
      </c>
      <c r="L75" t="b">
        <v>0</v>
      </c>
      <c r="M75" t="b">
        <v>0</v>
      </c>
      <c r="N75" t="inlineStr">
        <is>
          <t>HIGH CONVICTION</t>
        </is>
      </c>
    </row>
    <row r="76">
      <c r="A76" t="n">
        <v>75</v>
      </c>
      <c r="B76" t="inlineStr">
        <is>
          <t>AAPL</t>
        </is>
      </c>
      <c r="C76" t="inlineStr">
        <is>
          <t>2026-07-30</t>
        </is>
      </c>
      <c r="D76" t="n">
        <v>333.92</v>
      </c>
      <c r="E76" t="n">
        <v>64.93000000000001</v>
      </c>
      <c r="F76" t="n">
        <v>0.74</v>
      </c>
      <c r="G76" t="n">
        <v>23.17</v>
      </c>
      <c r="H76" t="n">
        <v>-1.81</v>
      </c>
      <c r="I76" t="n">
        <v>60</v>
      </c>
      <c r="J76" t="n">
        <v>85</v>
      </c>
      <c r="K76" t="n">
        <v>100</v>
      </c>
      <c r="L76" t="b">
        <v>0</v>
      </c>
      <c r="M76" t="b">
        <v>0</v>
      </c>
      <c r="N76" t="inlineStr">
        <is>
          <t>HIGH CONVICTION</t>
        </is>
      </c>
    </row>
    <row r="77">
      <c r="A77" t="n">
        <v>76</v>
      </c>
      <c r="B77" t="inlineStr">
        <is>
          <t>OSBC</t>
        </is>
      </c>
      <c r="C77" t="inlineStr">
        <is>
          <t>2026-07-30</t>
        </is>
      </c>
      <c r="D77" t="n">
        <v>25.28</v>
      </c>
      <c r="E77" t="n">
        <v>83.22</v>
      </c>
      <c r="F77" t="n">
        <v>0.4</v>
      </c>
      <c r="G77" t="n">
        <v>23.1</v>
      </c>
      <c r="H77" t="n">
        <v>-0.02</v>
      </c>
      <c r="I77" t="n">
        <v>60</v>
      </c>
      <c r="J77" t="n">
        <v>45</v>
      </c>
      <c r="K77" t="n">
        <v>100</v>
      </c>
      <c r="L77" t="b">
        <v>0</v>
      </c>
      <c r="M77" t="b">
        <v>0</v>
      </c>
      <c r="N77" t="inlineStr">
        <is>
          <t>HIGH CONVICTION</t>
        </is>
      </c>
    </row>
    <row r="78">
      <c r="A78" t="n">
        <v>77</v>
      </c>
      <c r="B78" t="inlineStr">
        <is>
          <t>TFSL</t>
        </is>
      </c>
      <c r="C78" t="inlineStr">
        <is>
          <t>2026-07-30</t>
        </is>
      </c>
      <c r="D78" t="n">
        <v>18.19</v>
      </c>
      <c r="E78" t="n">
        <v>62.3</v>
      </c>
      <c r="F78" t="n">
        <v>0.54</v>
      </c>
      <c r="G78" t="n">
        <v>23.06</v>
      </c>
      <c r="H78" t="n">
        <v>-1.54</v>
      </c>
      <c r="I78" t="n">
        <v>60</v>
      </c>
      <c r="J78" t="n">
        <v>85</v>
      </c>
      <c r="K78" t="n">
        <v>100</v>
      </c>
      <c r="L78" t="b">
        <v>0</v>
      </c>
      <c r="M78" t="b">
        <v>0</v>
      </c>
      <c r="N78" t="inlineStr">
        <is>
          <t>HIGH CONVICTION</t>
        </is>
      </c>
    </row>
    <row r="79">
      <c r="A79" t="n">
        <v>78</v>
      </c>
      <c r="B79" t="inlineStr">
        <is>
          <t>WSBC</t>
        </is>
      </c>
      <c r="C79" t="inlineStr">
        <is>
          <t>2026-07-30</t>
        </is>
      </c>
      <c r="D79" t="n">
        <v>41.8</v>
      </c>
      <c r="E79" t="n">
        <v>69.97</v>
      </c>
      <c r="F79" t="n">
        <v>0.32</v>
      </c>
      <c r="G79" t="n">
        <v>22.93</v>
      </c>
      <c r="H79" t="n">
        <v>-0.5</v>
      </c>
      <c r="I79" t="n">
        <v>60</v>
      </c>
      <c r="J79" t="n">
        <v>45</v>
      </c>
      <c r="K79" t="n">
        <v>100</v>
      </c>
      <c r="L79" t="b">
        <v>0</v>
      </c>
      <c r="M79" t="b">
        <v>0</v>
      </c>
      <c r="N79" t="inlineStr">
        <is>
          <t>HIGH CONVICTION</t>
        </is>
      </c>
    </row>
    <row r="80">
      <c r="A80" t="n">
        <v>79</v>
      </c>
      <c r="B80" t="inlineStr">
        <is>
          <t>HST</t>
        </is>
      </c>
      <c r="C80" t="inlineStr">
        <is>
          <t>2026-07-30</t>
        </is>
      </c>
      <c r="D80" t="n">
        <v>24.93</v>
      </c>
      <c r="E80" t="n">
        <v>69.39</v>
      </c>
      <c r="F80" t="n">
        <v>0.42</v>
      </c>
      <c r="G80" t="n">
        <v>22.53</v>
      </c>
      <c r="H80" t="n">
        <v>-2.37</v>
      </c>
      <c r="I80" t="n">
        <v>60</v>
      </c>
      <c r="J80" t="n">
        <v>45</v>
      </c>
      <c r="K80" t="n">
        <v>100</v>
      </c>
      <c r="L80" t="b">
        <v>0</v>
      </c>
      <c r="M80" t="b">
        <v>0</v>
      </c>
      <c r="N80" t="inlineStr">
        <is>
          <t>HIGH CONVICTION</t>
        </is>
      </c>
    </row>
    <row r="81">
      <c r="A81" t="n">
        <v>80</v>
      </c>
      <c r="B81" t="inlineStr">
        <is>
          <t>KRNY</t>
        </is>
      </c>
      <c r="C81" t="inlineStr">
        <is>
          <t>2026-07-30</t>
        </is>
      </c>
      <c r="D81" t="n">
        <v>9.65</v>
      </c>
      <c r="E81" t="n">
        <v>59.42</v>
      </c>
      <c r="F81" t="n">
        <v>0.43</v>
      </c>
      <c r="G81" t="n">
        <v>21.73</v>
      </c>
      <c r="H81" t="n">
        <v>-0.36</v>
      </c>
      <c r="I81" t="n">
        <v>60</v>
      </c>
      <c r="J81" t="n">
        <v>85</v>
      </c>
      <c r="K81" t="n">
        <v>100</v>
      </c>
      <c r="L81" t="b">
        <v>0</v>
      </c>
      <c r="M81" t="b">
        <v>0</v>
      </c>
      <c r="N81" t="inlineStr">
        <is>
          <t>HIGH CONVICTION</t>
        </is>
      </c>
    </row>
    <row r="82">
      <c r="A82" t="n">
        <v>81</v>
      </c>
      <c r="B82" t="inlineStr">
        <is>
          <t>NEOG</t>
        </is>
      </c>
      <c r="C82" t="inlineStr">
        <is>
          <t>2026-07-30</t>
        </is>
      </c>
      <c r="D82" t="n">
        <v>11.4</v>
      </c>
      <c r="E82" t="n">
        <v>71.89</v>
      </c>
      <c r="F82" t="n">
        <v>1.83</v>
      </c>
      <c r="G82" t="n">
        <v>21.22</v>
      </c>
      <c r="H82" t="n">
        <v>0</v>
      </c>
      <c r="I82" t="n">
        <v>60</v>
      </c>
      <c r="J82" t="n">
        <v>60</v>
      </c>
      <c r="K82" t="n">
        <v>100</v>
      </c>
      <c r="L82" t="b">
        <v>0</v>
      </c>
      <c r="M82" t="b">
        <v>0</v>
      </c>
      <c r="N82" t="inlineStr">
        <is>
          <t>HIGH CONVICTION</t>
        </is>
      </c>
    </row>
    <row r="83">
      <c r="A83" t="n">
        <v>82</v>
      </c>
      <c r="B83" t="inlineStr">
        <is>
          <t>RRR</t>
        </is>
      </c>
      <c r="C83" t="inlineStr">
        <is>
          <t>2026-07-30</t>
        </is>
      </c>
      <c r="D83" t="n">
        <v>64.79000000000001</v>
      </c>
      <c r="E83" t="n">
        <v>52.35</v>
      </c>
      <c r="F83" t="n">
        <v>0.57</v>
      </c>
      <c r="G83" t="n">
        <v>20.57</v>
      </c>
      <c r="H83" t="n">
        <v>-3.67</v>
      </c>
      <c r="I83" t="n">
        <v>60</v>
      </c>
      <c r="J83" t="n">
        <v>85</v>
      </c>
      <c r="K83" t="n">
        <v>100</v>
      </c>
      <c r="L83" t="b">
        <v>0</v>
      </c>
      <c r="M83" t="b">
        <v>0</v>
      </c>
      <c r="N83" t="inlineStr">
        <is>
          <t>HIGH CONVICTION</t>
        </is>
      </c>
    </row>
    <row r="84">
      <c r="A84" t="n">
        <v>83</v>
      </c>
      <c r="B84" t="inlineStr">
        <is>
          <t>BUSE</t>
        </is>
      </c>
      <c r="C84" t="inlineStr">
        <is>
          <t>2026-07-30</t>
        </is>
      </c>
      <c r="D84" t="n">
        <v>31.26</v>
      </c>
      <c r="E84" t="n">
        <v>75.19</v>
      </c>
      <c r="F84" t="n">
        <v>0.79</v>
      </c>
      <c r="G84" t="n">
        <v>20.37</v>
      </c>
      <c r="H84" t="n">
        <v>0</v>
      </c>
      <c r="I84" t="n">
        <v>60</v>
      </c>
      <c r="J84" t="n">
        <v>45</v>
      </c>
      <c r="K84" t="n">
        <v>100</v>
      </c>
      <c r="L84" t="b">
        <v>0</v>
      </c>
      <c r="M84" t="b">
        <v>0</v>
      </c>
      <c r="N84" t="inlineStr">
        <is>
          <t>HIGH CONVICTION</t>
        </is>
      </c>
    </row>
    <row r="85">
      <c r="A85" t="n">
        <v>84</v>
      </c>
      <c r="B85" t="inlineStr">
        <is>
          <t>VTRS</t>
        </is>
      </c>
      <c r="C85" t="inlineStr">
        <is>
          <t>2026-07-30</t>
        </is>
      </c>
      <c r="D85" t="n">
        <v>17.71</v>
      </c>
      <c r="E85" t="n">
        <v>68.84999999999999</v>
      </c>
      <c r="F85" t="n">
        <v>0.34</v>
      </c>
      <c r="G85" t="n">
        <v>19.41</v>
      </c>
      <c r="H85" t="n">
        <v>-0.84</v>
      </c>
      <c r="I85" t="n">
        <v>60</v>
      </c>
      <c r="J85" t="n">
        <v>45</v>
      </c>
      <c r="K85" t="n">
        <v>100</v>
      </c>
      <c r="L85" t="b">
        <v>0</v>
      </c>
      <c r="M85" t="b">
        <v>0</v>
      </c>
      <c r="N85" t="inlineStr">
        <is>
          <t>HIGH CONVICTION</t>
        </is>
      </c>
    </row>
    <row r="86">
      <c r="A86" t="n">
        <v>85</v>
      </c>
      <c r="B86" t="inlineStr">
        <is>
          <t>RPRX</t>
        </is>
      </c>
      <c r="C86" t="inlineStr">
        <is>
          <t>2026-07-30</t>
        </is>
      </c>
      <c r="D86" t="n">
        <v>59.34</v>
      </c>
      <c r="E86" t="n">
        <v>65.98999999999999</v>
      </c>
      <c r="F86" t="n">
        <v>0.59</v>
      </c>
      <c r="G86" t="n">
        <v>18.99</v>
      </c>
      <c r="H86" t="n">
        <v>-1.05</v>
      </c>
      <c r="I86" t="n">
        <v>60</v>
      </c>
      <c r="J86" t="n">
        <v>60</v>
      </c>
      <c r="K86" t="n">
        <v>100</v>
      </c>
      <c r="L86" t="b">
        <v>0</v>
      </c>
      <c r="M86" t="b">
        <v>0</v>
      </c>
      <c r="N86" t="inlineStr">
        <is>
          <t>HIGH CONVICTION</t>
        </is>
      </c>
    </row>
    <row r="87">
      <c r="A87" t="n">
        <v>86</v>
      </c>
      <c r="B87" t="inlineStr">
        <is>
          <t>ARWR</t>
        </is>
      </c>
      <c r="C87" t="inlineStr">
        <is>
          <t>2026-07-30</t>
        </is>
      </c>
      <c r="D87" t="n">
        <v>87.23999999999999</v>
      </c>
      <c r="E87" t="n">
        <v>66.66</v>
      </c>
      <c r="F87" t="n">
        <v>0.33</v>
      </c>
      <c r="G87" t="n">
        <v>18.72</v>
      </c>
      <c r="H87" t="n">
        <v>-1.65</v>
      </c>
      <c r="I87" t="n">
        <v>60</v>
      </c>
      <c r="J87" t="n">
        <v>45</v>
      </c>
      <c r="K87" t="n">
        <v>100</v>
      </c>
      <c r="L87" t="b">
        <v>0</v>
      </c>
      <c r="M87" t="b">
        <v>0</v>
      </c>
      <c r="N87" t="inlineStr">
        <is>
          <t>HIGH CONVICTION</t>
        </is>
      </c>
    </row>
    <row r="88">
      <c r="A88" t="n">
        <v>87</v>
      </c>
      <c r="B88" t="inlineStr">
        <is>
          <t>GIII</t>
        </is>
      </c>
      <c r="C88" t="inlineStr">
        <is>
          <t>2026-07-30</t>
        </is>
      </c>
      <c r="D88" t="n">
        <v>36.65</v>
      </c>
      <c r="E88" t="n">
        <v>63.38</v>
      </c>
      <c r="F88" t="n">
        <v>0.32</v>
      </c>
      <c r="G88" t="n">
        <v>17.84</v>
      </c>
      <c r="H88" t="n">
        <v>-0.43</v>
      </c>
      <c r="I88" t="n">
        <v>60</v>
      </c>
      <c r="J88" t="n">
        <v>70</v>
      </c>
      <c r="K88" t="n">
        <v>100</v>
      </c>
      <c r="L88" t="b">
        <v>0</v>
      </c>
      <c r="M88" t="b">
        <v>0</v>
      </c>
      <c r="N88" t="inlineStr">
        <is>
          <t>HIGH CONVICTION</t>
        </is>
      </c>
    </row>
    <row r="89">
      <c r="A89" t="n">
        <v>88</v>
      </c>
      <c r="B89" t="inlineStr">
        <is>
          <t>TROW</t>
        </is>
      </c>
      <c r="C89" t="inlineStr">
        <is>
          <t>2026-07-30</t>
        </is>
      </c>
      <c r="D89" t="n">
        <v>119.75</v>
      </c>
      <c r="E89" t="n">
        <v>52.25</v>
      </c>
      <c r="F89" t="n">
        <v>0.67</v>
      </c>
      <c r="G89" t="n">
        <v>17.79</v>
      </c>
      <c r="H89" t="n">
        <v>-1.59</v>
      </c>
      <c r="I89" t="n">
        <v>60</v>
      </c>
      <c r="J89" t="n">
        <v>85</v>
      </c>
      <c r="K89" t="n">
        <v>100</v>
      </c>
      <c r="L89" t="b">
        <v>0</v>
      </c>
      <c r="M89" t="b">
        <v>0</v>
      </c>
      <c r="N89" t="inlineStr">
        <is>
          <t>HIGH CONVICTION</t>
        </is>
      </c>
    </row>
    <row r="90">
      <c r="A90" t="n">
        <v>89</v>
      </c>
      <c r="B90" t="inlineStr">
        <is>
          <t>BPOP</t>
        </is>
      </c>
      <c r="C90" t="inlineStr">
        <is>
          <t>2026-07-30</t>
        </is>
      </c>
      <c r="D90" t="n">
        <v>176.01</v>
      </c>
      <c r="E90" t="n">
        <v>61.4</v>
      </c>
      <c r="F90" t="n">
        <v>0.32</v>
      </c>
      <c r="G90" t="n">
        <v>17.67</v>
      </c>
      <c r="H90" t="n">
        <v>0</v>
      </c>
      <c r="I90" t="n">
        <v>60</v>
      </c>
      <c r="J90" t="n">
        <v>85</v>
      </c>
      <c r="K90" t="n">
        <v>100</v>
      </c>
      <c r="L90" t="b">
        <v>0</v>
      </c>
      <c r="M90" t="b">
        <v>0</v>
      </c>
      <c r="N90" t="inlineStr">
        <is>
          <t>HIGH CONVICTION</t>
        </is>
      </c>
    </row>
    <row r="91">
      <c r="A91" t="n">
        <v>90</v>
      </c>
      <c r="B91" t="inlineStr">
        <is>
          <t>CFFN</t>
        </is>
      </c>
      <c r="C91" t="inlineStr">
        <is>
          <t>2026-07-30</t>
        </is>
      </c>
      <c r="D91" t="n">
        <v>8.93</v>
      </c>
      <c r="E91" t="n">
        <v>69.59</v>
      </c>
      <c r="F91" t="n">
        <v>0.9</v>
      </c>
      <c r="G91" t="n">
        <v>17.51</v>
      </c>
      <c r="H91" t="n">
        <v>0</v>
      </c>
      <c r="I91" t="n">
        <v>60</v>
      </c>
      <c r="J91" t="n">
        <v>45</v>
      </c>
      <c r="K91" t="n">
        <v>100</v>
      </c>
      <c r="L91" t="b">
        <v>0</v>
      </c>
      <c r="M91" t="b">
        <v>0</v>
      </c>
      <c r="N91" t="inlineStr">
        <is>
          <t>HIGH CONVICTION</t>
        </is>
      </c>
    </row>
    <row r="92">
      <c r="A92" t="n">
        <v>91</v>
      </c>
      <c r="B92" t="inlineStr">
        <is>
          <t>HOMB</t>
        </is>
      </c>
      <c r="C92" t="inlineStr">
        <is>
          <t>2026-07-30</t>
        </is>
      </c>
      <c r="D92" t="n">
        <v>31.29</v>
      </c>
      <c r="E92" t="n">
        <v>81.42</v>
      </c>
      <c r="F92" t="n">
        <v>0.39</v>
      </c>
      <c r="G92" t="n">
        <v>17.39</v>
      </c>
      <c r="H92" t="n">
        <v>-0.6</v>
      </c>
      <c r="I92" t="n">
        <v>60</v>
      </c>
      <c r="J92" t="n">
        <v>45</v>
      </c>
      <c r="K92" t="n">
        <v>100</v>
      </c>
      <c r="L92" t="b">
        <v>0</v>
      </c>
      <c r="M92" t="b">
        <v>0</v>
      </c>
      <c r="N92" t="inlineStr">
        <is>
          <t>HIGH CONVICTION</t>
        </is>
      </c>
    </row>
    <row r="93">
      <c r="A93" t="n">
        <v>92</v>
      </c>
      <c r="B93" t="inlineStr">
        <is>
          <t>GRMN</t>
        </is>
      </c>
      <c r="C93" t="inlineStr">
        <is>
          <t>2026-07-30</t>
        </is>
      </c>
      <c r="D93" t="n">
        <v>292.85</v>
      </c>
      <c r="E93" t="n">
        <v>78.01000000000001</v>
      </c>
      <c r="F93" t="n">
        <v>0.77</v>
      </c>
      <c r="G93" t="n">
        <v>17.12</v>
      </c>
      <c r="H93" t="n">
        <v>-0.67</v>
      </c>
      <c r="I93" t="n">
        <v>60</v>
      </c>
      <c r="J93" t="n">
        <v>45</v>
      </c>
      <c r="K93" t="n">
        <v>100</v>
      </c>
      <c r="L93" t="b">
        <v>0</v>
      </c>
      <c r="M93" t="b">
        <v>0</v>
      </c>
      <c r="N93" t="inlineStr">
        <is>
          <t>HIGH CONVICTION</t>
        </is>
      </c>
    </row>
    <row r="94">
      <c r="A94" t="n">
        <v>93</v>
      </c>
      <c r="B94" t="inlineStr">
        <is>
          <t>SBLK</t>
        </is>
      </c>
      <c r="C94" t="inlineStr">
        <is>
          <t>2026-07-30</t>
        </is>
      </c>
      <c r="D94" t="n">
        <v>28.88</v>
      </c>
      <c r="E94" t="n">
        <v>63.81</v>
      </c>
      <c r="F94" t="n">
        <v>1.02</v>
      </c>
      <c r="G94" t="n">
        <v>17.06</v>
      </c>
      <c r="H94" t="n">
        <v>0</v>
      </c>
      <c r="I94" t="n">
        <v>60</v>
      </c>
      <c r="J94" t="n">
        <v>85</v>
      </c>
      <c r="K94" t="n">
        <v>100</v>
      </c>
      <c r="L94" t="b">
        <v>0</v>
      </c>
      <c r="M94" t="b">
        <v>0</v>
      </c>
      <c r="N94" t="inlineStr">
        <is>
          <t>HIGH CONVICTION</t>
        </is>
      </c>
    </row>
    <row r="95">
      <c r="A95" t="n">
        <v>94</v>
      </c>
      <c r="B95" t="inlineStr">
        <is>
          <t>UMBF</t>
        </is>
      </c>
      <c r="C95" t="inlineStr">
        <is>
          <t>2026-07-30</t>
        </is>
      </c>
      <c r="D95" t="n">
        <v>146.06</v>
      </c>
      <c r="E95" t="n">
        <v>52.61</v>
      </c>
      <c r="F95" t="n">
        <v>0.74</v>
      </c>
      <c r="G95" t="n">
        <v>16.14</v>
      </c>
      <c r="H95" t="n">
        <v>-1.49</v>
      </c>
      <c r="I95" t="n">
        <v>60</v>
      </c>
      <c r="J95" t="n">
        <v>85</v>
      </c>
      <c r="K95" t="n">
        <v>100</v>
      </c>
      <c r="L95" t="b">
        <v>0</v>
      </c>
      <c r="M95" t="b">
        <v>0</v>
      </c>
      <c r="N95" t="inlineStr">
        <is>
          <t>HIGH CONVICTION</t>
        </is>
      </c>
    </row>
    <row r="96">
      <c r="A96" t="n">
        <v>95</v>
      </c>
      <c r="B96" t="inlineStr">
        <is>
          <t>EBC</t>
        </is>
      </c>
      <c r="C96" t="inlineStr">
        <is>
          <t>2026-07-30</t>
        </is>
      </c>
      <c r="D96" t="n">
        <v>23.27</v>
      </c>
      <c r="E96" t="n">
        <v>60.88</v>
      </c>
      <c r="F96" t="n">
        <v>0.86</v>
      </c>
      <c r="G96" t="n">
        <v>15.89</v>
      </c>
      <c r="H96" t="n">
        <v>-1.19</v>
      </c>
      <c r="I96" t="n">
        <v>60</v>
      </c>
      <c r="J96" t="n">
        <v>85</v>
      </c>
      <c r="K96" t="n">
        <v>100</v>
      </c>
      <c r="L96" t="b">
        <v>0</v>
      </c>
      <c r="M96" t="b">
        <v>0</v>
      </c>
      <c r="N96" t="inlineStr">
        <is>
          <t>HIGH CONVICTION</t>
        </is>
      </c>
    </row>
    <row r="97">
      <c r="A97" t="n">
        <v>96</v>
      </c>
      <c r="B97" t="inlineStr">
        <is>
          <t>CBSH</t>
        </is>
      </c>
      <c r="C97" t="inlineStr">
        <is>
          <t>2026-07-30</t>
        </is>
      </c>
      <c r="D97" t="n">
        <v>59.9</v>
      </c>
      <c r="E97" t="n">
        <v>63.04</v>
      </c>
      <c r="F97" t="n">
        <v>0.38</v>
      </c>
      <c r="G97" t="n">
        <v>15.74</v>
      </c>
      <c r="H97" t="n">
        <v>-0.7</v>
      </c>
      <c r="I97" t="n">
        <v>60</v>
      </c>
      <c r="J97" t="n">
        <v>85</v>
      </c>
      <c r="K97" t="n">
        <v>100</v>
      </c>
      <c r="L97" t="b">
        <v>0</v>
      </c>
      <c r="M97" t="b">
        <v>0</v>
      </c>
      <c r="N97" t="inlineStr">
        <is>
          <t>HIGH CONVICTION</t>
        </is>
      </c>
    </row>
    <row r="98">
      <c r="A98" t="n">
        <v>97</v>
      </c>
      <c r="B98" t="inlineStr">
        <is>
          <t>NWBI</t>
        </is>
      </c>
      <c r="C98" t="inlineStr">
        <is>
          <t>2026-07-30</t>
        </is>
      </c>
      <c r="D98" t="n">
        <v>15.75</v>
      </c>
      <c r="E98" t="n">
        <v>69.40000000000001</v>
      </c>
      <c r="F98" t="n">
        <v>0.43</v>
      </c>
      <c r="G98" t="n">
        <v>15.52</v>
      </c>
      <c r="H98" t="n">
        <v>-0.9399999999999999</v>
      </c>
      <c r="I98" t="n">
        <v>60</v>
      </c>
      <c r="J98" t="n">
        <v>60</v>
      </c>
      <c r="K98" t="n">
        <v>100</v>
      </c>
      <c r="L98" t="b">
        <v>0</v>
      </c>
      <c r="M98" t="b">
        <v>0</v>
      </c>
      <c r="N98" t="inlineStr">
        <is>
          <t>HIGH CONVICTION</t>
        </is>
      </c>
    </row>
    <row r="99">
      <c r="A99" t="n">
        <v>98</v>
      </c>
      <c r="B99" t="inlineStr">
        <is>
          <t>FMNB</t>
        </is>
      </c>
      <c r="C99" t="inlineStr">
        <is>
          <t>2026-07-30</t>
        </is>
      </c>
      <c r="D99" t="n">
        <v>16.01</v>
      </c>
      <c r="E99" t="n">
        <v>78.15000000000001</v>
      </c>
      <c r="F99" t="n">
        <v>0.51</v>
      </c>
      <c r="G99" t="n">
        <v>15.13</v>
      </c>
      <c r="H99" t="n">
        <v>0</v>
      </c>
      <c r="I99" t="n">
        <v>60</v>
      </c>
      <c r="J99" t="n">
        <v>45</v>
      </c>
      <c r="K99" t="n">
        <v>100</v>
      </c>
      <c r="L99" t="b">
        <v>0</v>
      </c>
      <c r="M99" t="b">
        <v>0</v>
      </c>
      <c r="N99" t="inlineStr">
        <is>
          <t>HIGH CONVICTION</t>
        </is>
      </c>
    </row>
    <row r="100">
      <c r="A100" t="n">
        <v>99</v>
      </c>
      <c r="B100" t="inlineStr">
        <is>
          <t>HBNC</t>
        </is>
      </c>
      <c r="C100" t="inlineStr">
        <is>
          <t>2026-07-30</t>
        </is>
      </c>
      <c r="D100" t="n">
        <v>20.66</v>
      </c>
      <c r="E100" t="n">
        <v>68.76000000000001</v>
      </c>
      <c r="F100" t="n">
        <v>0.39</v>
      </c>
      <c r="G100" t="n">
        <v>15.01</v>
      </c>
      <c r="H100" t="n">
        <v>-0.27</v>
      </c>
      <c r="I100" t="n">
        <v>60</v>
      </c>
      <c r="J100" t="n">
        <v>60</v>
      </c>
      <c r="K100" t="n">
        <v>100</v>
      </c>
      <c r="L100" t="b">
        <v>0</v>
      </c>
      <c r="M100" t="b">
        <v>0</v>
      </c>
      <c r="N100" t="inlineStr">
        <is>
          <t>HIGH CONVICTION</t>
        </is>
      </c>
    </row>
    <row r="101">
      <c r="A101" t="n">
        <v>100</v>
      </c>
      <c r="B101" t="inlineStr">
        <is>
          <t>SEIC</t>
        </is>
      </c>
      <c r="C101" t="inlineStr">
        <is>
          <t>2026-07-30</t>
        </is>
      </c>
      <c r="D101" t="n">
        <v>102.99</v>
      </c>
      <c r="E101" t="n">
        <v>68.72</v>
      </c>
      <c r="F101" t="n">
        <v>0.33</v>
      </c>
      <c r="G101" t="n">
        <v>14.24</v>
      </c>
      <c r="H101" t="n">
        <v>-0.15</v>
      </c>
      <c r="I101" t="n">
        <v>60</v>
      </c>
      <c r="J101" t="n">
        <v>45</v>
      </c>
      <c r="K101" t="n">
        <v>100</v>
      </c>
      <c r="L101" t="b">
        <v>0</v>
      </c>
      <c r="M101" t="b">
        <v>0</v>
      </c>
      <c r="N101" t="inlineStr">
        <is>
          <t>HIGH CONVICTION</t>
        </is>
      </c>
    </row>
    <row r="102">
      <c r="A102" t="n">
        <v>101</v>
      </c>
      <c r="B102" t="inlineStr">
        <is>
          <t>AUB</t>
        </is>
      </c>
      <c r="C102" t="inlineStr">
        <is>
          <t>2026-07-30</t>
        </is>
      </c>
      <c r="D102" t="n">
        <v>42.54</v>
      </c>
      <c r="E102" t="n">
        <v>54.07</v>
      </c>
      <c r="F102" t="n">
        <v>0.2</v>
      </c>
      <c r="G102" t="n">
        <v>14.11</v>
      </c>
      <c r="H102" t="n">
        <v>-1.64</v>
      </c>
      <c r="I102" t="n">
        <v>60</v>
      </c>
      <c r="J102" t="n">
        <v>85</v>
      </c>
      <c r="K102" t="n">
        <v>100</v>
      </c>
      <c r="L102" t="b">
        <v>0</v>
      </c>
      <c r="M102" t="b">
        <v>0</v>
      </c>
      <c r="N102" t="inlineStr">
        <is>
          <t>HIGH CONVICTION</t>
        </is>
      </c>
    </row>
    <row r="103">
      <c r="A103" t="n">
        <v>102</v>
      </c>
      <c r="B103" t="inlineStr">
        <is>
          <t>ECPG</t>
        </is>
      </c>
      <c r="C103" t="inlineStr">
        <is>
          <t>2026-07-30</t>
        </is>
      </c>
      <c r="D103" t="n">
        <v>94.39</v>
      </c>
      <c r="E103" t="n">
        <v>53.42</v>
      </c>
      <c r="F103" t="n">
        <v>0.31</v>
      </c>
      <c r="G103" t="n">
        <v>14.03</v>
      </c>
      <c r="H103" t="n">
        <v>-1.58</v>
      </c>
      <c r="I103" t="n">
        <v>60</v>
      </c>
      <c r="J103" t="n">
        <v>70</v>
      </c>
      <c r="K103" t="n">
        <v>100</v>
      </c>
      <c r="L103" t="b">
        <v>0</v>
      </c>
      <c r="M103" t="b">
        <v>0</v>
      </c>
      <c r="N103" t="inlineStr">
        <is>
          <t>HIGH CONVICTION</t>
        </is>
      </c>
    </row>
    <row r="104">
      <c r="A104" t="n">
        <v>103</v>
      </c>
      <c r="B104" t="inlineStr">
        <is>
          <t>PFG</t>
        </is>
      </c>
      <c r="C104" t="inlineStr">
        <is>
          <t>2026-07-30</t>
        </is>
      </c>
      <c r="D104" t="n">
        <v>113.94</v>
      </c>
      <c r="E104" t="n">
        <v>54.71</v>
      </c>
      <c r="F104" t="n">
        <v>0.39</v>
      </c>
      <c r="G104" t="n">
        <v>13.81</v>
      </c>
      <c r="H104" t="n">
        <v>-0.13</v>
      </c>
      <c r="I104" t="n">
        <v>60</v>
      </c>
      <c r="J104" t="n">
        <v>85</v>
      </c>
      <c r="K104" t="n">
        <v>100</v>
      </c>
      <c r="L104" t="b">
        <v>0</v>
      </c>
      <c r="M104" t="b">
        <v>0</v>
      </c>
      <c r="N104" t="inlineStr">
        <is>
          <t>HIGH CONVICTION</t>
        </is>
      </c>
    </row>
    <row r="105">
      <c r="A105" t="n">
        <v>104</v>
      </c>
      <c r="B105" t="inlineStr">
        <is>
          <t>HOPE</t>
        </is>
      </c>
      <c r="C105" t="inlineStr">
        <is>
          <t>2026-07-30</t>
        </is>
      </c>
      <c r="D105" t="n">
        <v>13.98</v>
      </c>
      <c r="E105" t="n">
        <v>61.95</v>
      </c>
      <c r="F105" t="n">
        <v>0.43</v>
      </c>
      <c r="G105" t="n">
        <v>13.56</v>
      </c>
      <c r="H105" t="n">
        <v>-0.99</v>
      </c>
      <c r="I105" t="n">
        <v>60</v>
      </c>
      <c r="J105" t="n">
        <v>85</v>
      </c>
      <c r="K105" t="n">
        <v>100</v>
      </c>
      <c r="L105" t="b">
        <v>0</v>
      </c>
      <c r="M105" t="b">
        <v>0</v>
      </c>
      <c r="N105" t="inlineStr">
        <is>
          <t>HIGH CONVICTION</t>
        </is>
      </c>
    </row>
    <row r="106">
      <c r="A106" t="n">
        <v>105</v>
      </c>
      <c r="B106" t="inlineStr">
        <is>
          <t>CATY</t>
        </is>
      </c>
      <c r="C106" t="inlineStr">
        <is>
          <t>2026-07-30</t>
        </is>
      </c>
      <c r="D106" t="n">
        <v>63.21</v>
      </c>
      <c r="E106" t="n">
        <v>59.89</v>
      </c>
      <c r="F106" t="n">
        <v>0.38</v>
      </c>
      <c r="G106" t="n">
        <v>13.56</v>
      </c>
      <c r="H106" t="n">
        <v>-0.8100000000000001</v>
      </c>
      <c r="I106" t="n">
        <v>60</v>
      </c>
      <c r="J106" t="n">
        <v>85</v>
      </c>
      <c r="K106" t="n">
        <v>100</v>
      </c>
      <c r="L106" t="b">
        <v>0</v>
      </c>
      <c r="M106" t="b">
        <v>0</v>
      </c>
      <c r="N106" t="inlineStr">
        <is>
          <t>HIGH CONVICTION</t>
        </is>
      </c>
    </row>
    <row r="107">
      <c r="A107" t="n">
        <v>106</v>
      </c>
      <c r="B107" t="inlineStr">
        <is>
          <t>AMGN</t>
        </is>
      </c>
      <c r="C107" t="inlineStr">
        <is>
          <t>2026-07-30</t>
        </is>
      </c>
      <c r="D107" t="n">
        <v>387.67</v>
      </c>
      <c r="E107" t="n">
        <v>68.20999999999999</v>
      </c>
      <c r="F107" t="n">
        <v>0.55</v>
      </c>
      <c r="G107" t="n">
        <v>12.81</v>
      </c>
      <c r="H107" t="n">
        <v>-1.38</v>
      </c>
      <c r="I107" t="n">
        <v>60</v>
      </c>
      <c r="J107" t="n">
        <v>45</v>
      </c>
      <c r="K107" t="n">
        <v>100</v>
      </c>
      <c r="L107" t="b">
        <v>0</v>
      </c>
      <c r="M107" t="b">
        <v>0</v>
      </c>
      <c r="N107" t="inlineStr">
        <is>
          <t>HIGH CONVICTION</t>
        </is>
      </c>
    </row>
    <row r="108">
      <c r="A108" t="n">
        <v>107</v>
      </c>
      <c r="B108" t="inlineStr">
        <is>
          <t>UBSI</t>
        </is>
      </c>
      <c r="C108" t="inlineStr">
        <is>
          <t>2026-07-30</t>
        </is>
      </c>
      <c r="D108" t="n">
        <v>48.57</v>
      </c>
      <c r="E108" t="n">
        <v>70.5</v>
      </c>
      <c r="F108" t="n">
        <v>0.41</v>
      </c>
      <c r="G108" t="n">
        <v>11.81</v>
      </c>
      <c r="H108" t="n">
        <v>-0.88</v>
      </c>
      <c r="I108" t="n">
        <v>60</v>
      </c>
      <c r="J108" t="n">
        <v>45</v>
      </c>
      <c r="K108" t="n">
        <v>100</v>
      </c>
      <c r="L108" t="b">
        <v>0</v>
      </c>
      <c r="M108" t="b">
        <v>0</v>
      </c>
      <c r="N108" t="inlineStr">
        <is>
          <t>HIGH CONVICTION</t>
        </is>
      </c>
    </row>
    <row r="109">
      <c r="A109" t="n">
        <v>108</v>
      </c>
      <c r="B109" t="inlineStr">
        <is>
          <t>WSFS</t>
        </is>
      </c>
      <c r="C109" t="inlineStr">
        <is>
          <t>2026-07-30</t>
        </is>
      </c>
      <c r="D109" t="n">
        <v>80.19</v>
      </c>
      <c r="E109" t="n">
        <v>63.08</v>
      </c>
      <c r="F109" t="n">
        <v>0.29</v>
      </c>
      <c r="G109" t="n">
        <v>11.73</v>
      </c>
      <c r="H109" t="n">
        <v>-1.97</v>
      </c>
      <c r="I109" t="n">
        <v>60</v>
      </c>
      <c r="J109" t="n">
        <v>85</v>
      </c>
      <c r="K109" t="n">
        <v>100</v>
      </c>
      <c r="L109" t="b">
        <v>0</v>
      </c>
      <c r="M109" t="b">
        <v>0</v>
      </c>
      <c r="N109" t="inlineStr">
        <is>
          <t>HIGH CONVICTION</t>
        </is>
      </c>
    </row>
    <row r="110">
      <c r="A110" t="n">
        <v>109</v>
      </c>
      <c r="B110" t="inlineStr">
        <is>
          <t>SFNC</t>
        </is>
      </c>
      <c r="C110" t="inlineStr">
        <is>
          <t>2026-07-30</t>
        </is>
      </c>
      <c r="D110" t="n">
        <v>23.51</v>
      </c>
      <c r="E110" t="n">
        <v>61.99</v>
      </c>
      <c r="F110" t="n">
        <v>0.54</v>
      </c>
      <c r="G110" t="n">
        <v>11.65</v>
      </c>
      <c r="H110" t="n">
        <v>0</v>
      </c>
      <c r="I110" t="n">
        <v>60</v>
      </c>
      <c r="J110" t="n">
        <v>85</v>
      </c>
      <c r="K110" t="n">
        <v>100</v>
      </c>
      <c r="L110" t="b">
        <v>0</v>
      </c>
      <c r="M110" t="b">
        <v>0</v>
      </c>
      <c r="N110" t="inlineStr">
        <is>
          <t>HIGH CONVICTION</t>
        </is>
      </c>
    </row>
    <row r="111">
      <c r="A111" t="n">
        <v>110</v>
      </c>
      <c r="B111" t="inlineStr">
        <is>
          <t>TOWN</t>
        </is>
      </c>
      <c r="C111" t="inlineStr">
        <is>
          <t>2026-07-30</t>
        </is>
      </c>
      <c r="D111" t="n">
        <v>38.42</v>
      </c>
      <c r="E111" t="n">
        <v>73.63</v>
      </c>
      <c r="F111" t="n">
        <v>0.38</v>
      </c>
      <c r="G111" t="n">
        <v>11.08</v>
      </c>
      <c r="H111" t="n">
        <v>-0.86</v>
      </c>
      <c r="I111" t="n">
        <v>60</v>
      </c>
      <c r="J111" t="n">
        <v>45</v>
      </c>
      <c r="K111" t="n">
        <v>100</v>
      </c>
      <c r="L111" t="b">
        <v>0</v>
      </c>
      <c r="M111" t="b">
        <v>0</v>
      </c>
      <c r="N111" t="inlineStr">
        <is>
          <t>HIGH CONVICTION</t>
        </is>
      </c>
    </row>
    <row r="112">
      <c r="A112" t="n">
        <v>111</v>
      </c>
      <c r="B112" t="inlineStr">
        <is>
          <t>ROST</t>
        </is>
      </c>
      <c r="C112" t="inlineStr">
        <is>
          <t>2026-07-30</t>
        </is>
      </c>
      <c r="D112" t="n">
        <v>252.04</v>
      </c>
      <c r="E112" t="n">
        <v>80.61</v>
      </c>
      <c r="F112" t="n">
        <v>0.46</v>
      </c>
      <c r="G112" t="n">
        <v>10.86</v>
      </c>
      <c r="H112" t="n">
        <v>0</v>
      </c>
      <c r="I112" t="n">
        <v>60</v>
      </c>
      <c r="J112" t="n">
        <v>45</v>
      </c>
      <c r="K112" t="n">
        <v>100</v>
      </c>
      <c r="L112" t="b">
        <v>0</v>
      </c>
      <c r="M112" t="b">
        <v>0</v>
      </c>
      <c r="N112" t="inlineStr">
        <is>
          <t>HIGH CONVICTION</t>
        </is>
      </c>
    </row>
    <row r="113">
      <c r="A113" t="n">
        <v>112</v>
      </c>
      <c r="B113" t="inlineStr">
        <is>
          <t>SBCF</t>
        </is>
      </c>
      <c r="C113" t="inlineStr">
        <is>
          <t>2026-07-30</t>
        </is>
      </c>
      <c r="D113" t="n">
        <v>34.63</v>
      </c>
      <c r="E113" t="n">
        <v>67.03</v>
      </c>
      <c r="F113" t="n">
        <v>0.9399999999999999</v>
      </c>
      <c r="G113" t="n">
        <v>10.71</v>
      </c>
      <c r="H113" t="n">
        <v>-0.08</v>
      </c>
      <c r="I113" t="n">
        <v>60</v>
      </c>
      <c r="J113" t="n">
        <v>45</v>
      </c>
      <c r="K113" t="n">
        <v>100</v>
      </c>
      <c r="L113" t="b">
        <v>0</v>
      </c>
      <c r="M113" t="b">
        <v>0</v>
      </c>
      <c r="N113" t="inlineStr">
        <is>
          <t>HIGH CONVICTION</t>
        </is>
      </c>
    </row>
    <row r="114">
      <c r="A114" t="n">
        <v>113</v>
      </c>
      <c r="B114" t="inlineStr">
        <is>
          <t>SBUX</t>
        </is>
      </c>
      <c r="C114" t="inlineStr">
        <is>
          <t>2026-07-30</t>
        </is>
      </c>
      <c r="D114" t="n">
        <v>106.82</v>
      </c>
      <c r="E114" t="n">
        <v>52.41</v>
      </c>
      <c r="F114" t="n">
        <v>2.24</v>
      </c>
      <c r="G114" t="n">
        <v>2</v>
      </c>
      <c r="H114" t="n">
        <v>-1.43</v>
      </c>
      <c r="I114" t="n">
        <v>60</v>
      </c>
      <c r="J114" t="n">
        <v>100</v>
      </c>
      <c r="K114" t="n">
        <v>100</v>
      </c>
      <c r="L114" t="b">
        <v>0</v>
      </c>
      <c r="M114" t="b">
        <v>0</v>
      </c>
      <c r="N114" t="inlineStr">
        <is>
          <t>HIGH CONVICTION</t>
        </is>
      </c>
    </row>
    <row r="115">
      <c r="A115" t="n">
        <v>114</v>
      </c>
      <c r="B115" t="inlineStr">
        <is>
          <t>QURE</t>
        </is>
      </c>
      <c r="C115" t="inlineStr">
        <is>
          <t>2026-07-30</t>
        </is>
      </c>
      <c r="D115" t="n">
        <v>40.84</v>
      </c>
      <c r="E115" t="n">
        <v>43.67</v>
      </c>
      <c r="F115" t="n">
        <v>0.74</v>
      </c>
      <c r="G115" t="n">
        <v>104.71</v>
      </c>
      <c r="H115" t="n">
        <v>-42.14</v>
      </c>
      <c r="I115" t="n">
        <v>55</v>
      </c>
      <c r="J115" t="n">
        <v>60</v>
      </c>
      <c r="K115" t="n">
        <v>95</v>
      </c>
      <c r="L115" t="b">
        <v>0</v>
      </c>
      <c r="M115" t="b">
        <v>0</v>
      </c>
      <c r="N115" t="inlineStr">
        <is>
          <t>HIGH CONVICTION</t>
        </is>
      </c>
    </row>
    <row r="116">
      <c r="A116" t="n">
        <v>115</v>
      </c>
      <c r="B116" t="inlineStr">
        <is>
          <t>TGTX</t>
        </is>
      </c>
      <c r="C116" t="inlineStr">
        <is>
          <t>2026-07-30</t>
        </is>
      </c>
      <c r="D116" t="n">
        <v>53.9</v>
      </c>
      <c r="E116" t="n">
        <v>38.35</v>
      </c>
      <c r="F116" t="n">
        <v>0.68</v>
      </c>
      <c r="G116" t="n">
        <v>59.56</v>
      </c>
      <c r="H116" t="n">
        <v>-8.74</v>
      </c>
      <c r="I116" t="n">
        <v>45</v>
      </c>
      <c r="J116" t="n">
        <v>60</v>
      </c>
      <c r="K116" t="n">
        <v>95</v>
      </c>
      <c r="L116" t="b">
        <v>0</v>
      </c>
      <c r="M116" t="b">
        <v>0</v>
      </c>
      <c r="N116" t="inlineStr">
        <is>
          <t>HIGH CONVICTION</t>
        </is>
      </c>
    </row>
    <row r="117">
      <c r="A117" t="n">
        <v>116</v>
      </c>
      <c r="B117" t="inlineStr">
        <is>
          <t>ICLR</t>
        </is>
      </c>
      <c r="C117" t="inlineStr">
        <is>
          <t>2026-07-30</t>
        </is>
      </c>
      <c r="D117" t="n">
        <v>166.35</v>
      </c>
      <c r="E117" t="n">
        <v>48.65</v>
      </c>
      <c r="F117" t="n">
        <v>1.63</v>
      </c>
      <c r="G117" t="n">
        <v>40.58</v>
      </c>
      <c r="H117" t="n">
        <v>-18.02</v>
      </c>
      <c r="I117" t="n">
        <v>45</v>
      </c>
      <c r="J117" t="n">
        <v>100</v>
      </c>
      <c r="K117" t="n">
        <v>95</v>
      </c>
      <c r="L117" t="b">
        <v>0</v>
      </c>
      <c r="M117" t="b">
        <v>0</v>
      </c>
      <c r="N117" t="inlineStr">
        <is>
          <t>HIGH CONVICTION</t>
        </is>
      </c>
    </row>
    <row r="118">
      <c r="A118" t="n">
        <v>117</v>
      </c>
      <c r="B118" t="inlineStr">
        <is>
          <t>UAL</t>
        </is>
      </c>
      <c r="C118" t="inlineStr">
        <is>
          <t>2026-07-30</t>
        </is>
      </c>
      <c r="D118" t="n">
        <v>124.1</v>
      </c>
      <c r="E118" t="n">
        <v>47.2</v>
      </c>
      <c r="F118" t="n">
        <v>0.37</v>
      </c>
      <c r="G118" t="n">
        <v>37.89</v>
      </c>
      <c r="H118" t="n">
        <v>-8.82</v>
      </c>
      <c r="I118" t="n">
        <v>55</v>
      </c>
      <c r="J118" t="n">
        <v>85</v>
      </c>
      <c r="K118" t="n">
        <v>95</v>
      </c>
      <c r="L118" t="b">
        <v>0</v>
      </c>
      <c r="M118" t="b">
        <v>0</v>
      </c>
      <c r="N118" t="inlineStr">
        <is>
          <t>HIGH CONVICTION</t>
        </is>
      </c>
    </row>
    <row r="119">
      <c r="A119" t="n">
        <v>118</v>
      </c>
      <c r="B119" t="inlineStr">
        <is>
          <t>CGEM</t>
        </is>
      </c>
      <c r="C119" t="inlineStr">
        <is>
          <t>2026-07-30</t>
        </is>
      </c>
      <c r="D119" t="n">
        <v>17.64</v>
      </c>
      <c r="E119" t="n">
        <v>45.84</v>
      </c>
      <c r="F119" t="n">
        <v>0.47</v>
      </c>
      <c r="G119" t="n">
        <v>35.17</v>
      </c>
      <c r="H119" t="n">
        <v>-4.55</v>
      </c>
      <c r="I119" t="n">
        <v>45</v>
      </c>
      <c r="J119" t="n">
        <v>85</v>
      </c>
      <c r="K119" t="n">
        <v>95</v>
      </c>
      <c r="L119" t="b">
        <v>0</v>
      </c>
      <c r="M119" t="b">
        <v>0</v>
      </c>
      <c r="N119" t="inlineStr">
        <is>
          <t>HIGH CONVICTION</t>
        </is>
      </c>
    </row>
    <row r="120">
      <c r="A120" t="n">
        <v>119</v>
      </c>
      <c r="B120" t="inlineStr">
        <is>
          <t>LIVN</t>
        </is>
      </c>
      <c r="C120" t="inlineStr">
        <is>
          <t>2026-07-30</t>
        </is>
      </c>
      <c r="D120" t="n">
        <v>80.84999999999999</v>
      </c>
      <c r="E120" t="n">
        <v>45.15</v>
      </c>
      <c r="F120" t="n">
        <v>0.57</v>
      </c>
      <c r="G120" t="n">
        <v>34.53</v>
      </c>
      <c r="H120" t="n">
        <v>-3.78</v>
      </c>
      <c r="I120" t="n">
        <v>45</v>
      </c>
      <c r="J120" t="n">
        <v>85</v>
      </c>
      <c r="K120" t="n">
        <v>95</v>
      </c>
      <c r="L120" t="b">
        <v>0</v>
      </c>
      <c r="M120" t="b">
        <v>0</v>
      </c>
      <c r="N120" t="inlineStr">
        <is>
          <t>HIGH CONVICTION</t>
        </is>
      </c>
    </row>
    <row r="121">
      <c r="A121" t="n">
        <v>120</v>
      </c>
      <c r="B121" t="inlineStr">
        <is>
          <t>LAUR</t>
        </is>
      </c>
      <c r="C121" t="inlineStr">
        <is>
          <t>2026-07-30</t>
        </is>
      </c>
      <c r="D121" t="n">
        <v>38.7</v>
      </c>
      <c r="E121" t="n">
        <v>38.33</v>
      </c>
      <c r="F121" t="n">
        <v>0.88</v>
      </c>
      <c r="G121" t="n">
        <v>28.59</v>
      </c>
      <c r="H121" t="n">
        <v>-4.35</v>
      </c>
      <c r="I121" t="n">
        <v>55</v>
      </c>
      <c r="J121" t="n">
        <v>60</v>
      </c>
      <c r="K121" t="n">
        <v>95</v>
      </c>
      <c r="L121" t="b">
        <v>0</v>
      </c>
      <c r="M121" t="b">
        <v>0</v>
      </c>
      <c r="N121" t="inlineStr">
        <is>
          <t>HIGH CONVICTION</t>
        </is>
      </c>
    </row>
    <row r="122">
      <c r="A122" t="n">
        <v>121</v>
      </c>
      <c r="B122" t="inlineStr">
        <is>
          <t>MNST</t>
        </is>
      </c>
      <c r="C122" t="inlineStr">
        <is>
          <t>2026-07-30</t>
        </is>
      </c>
      <c r="D122" t="n">
        <v>97.05</v>
      </c>
      <c r="E122" t="n">
        <v>49.05</v>
      </c>
      <c r="F122" t="n">
        <v>0.63</v>
      </c>
      <c r="G122" t="n">
        <v>25.92</v>
      </c>
      <c r="H122" t="n">
        <v>-2.89</v>
      </c>
      <c r="I122" t="n">
        <v>55</v>
      </c>
      <c r="J122" t="n">
        <v>85</v>
      </c>
      <c r="K122" t="n">
        <v>95</v>
      </c>
      <c r="L122" t="b">
        <v>0</v>
      </c>
      <c r="M122" t="b">
        <v>0</v>
      </c>
      <c r="N122" t="inlineStr">
        <is>
          <t>HIGH CONVICTION</t>
        </is>
      </c>
    </row>
    <row r="123">
      <c r="A123" t="n">
        <v>122</v>
      </c>
      <c r="B123" t="inlineStr">
        <is>
          <t>REPL</t>
        </is>
      </c>
      <c r="C123" t="inlineStr">
        <is>
          <t>2026-07-30</t>
        </is>
      </c>
      <c r="D123" t="n">
        <v>5.41</v>
      </c>
      <c r="E123" t="n">
        <v>17.54</v>
      </c>
      <c r="F123" t="n">
        <v>2.96</v>
      </c>
      <c r="G123" t="n">
        <v>127.31</v>
      </c>
      <c r="H123" t="n">
        <v>-53.48</v>
      </c>
      <c r="I123" t="n">
        <v>20</v>
      </c>
      <c r="J123" t="n">
        <v>15</v>
      </c>
      <c r="K123" t="n">
        <v>90</v>
      </c>
      <c r="L123" t="b">
        <v>0</v>
      </c>
      <c r="M123" t="b">
        <v>0</v>
      </c>
      <c r="N123" t="inlineStr">
        <is>
          <t>WATCH</t>
        </is>
      </c>
    </row>
    <row r="124">
      <c r="A124" t="n">
        <v>123</v>
      </c>
      <c r="B124" t="inlineStr">
        <is>
          <t>FCEL</t>
        </is>
      </c>
      <c r="C124" t="inlineStr">
        <is>
          <t>2026-07-30</t>
        </is>
      </c>
      <c r="D124" t="n">
        <v>23.14</v>
      </c>
      <c r="E124" t="n">
        <v>54.2</v>
      </c>
      <c r="F124" t="n">
        <v>0.89</v>
      </c>
      <c r="G124" t="n">
        <v>78</v>
      </c>
      <c r="H124" t="n">
        <v>-35.74</v>
      </c>
      <c r="I124" t="n">
        <v>50</v>
      </c>
      <c r="J124" t="n">
        <v>70</v>
      </c>
      <c r="K124" t="n">
        <v>90</v>
      </c>
      <c r="L124" t="b">
        <v>0</v>
      </c>
      <c r="M124" t="b">
        <v>0</v>
      </c>
      <c r="N124" t="inlineStr">
        <is>
          <t>WATCH</t>
        </is>
      </c>
    </row>
    <row r="125">
      <c r="A125" t="n">
        <v>124</v>
      </c>
      <c r="B125" t="inlineStr">
        <is>
          <t>SIBN</t>
        </is>
      </c>
      <c r="C125" t="inlineStr">
        <is>
          <t>2026-07-30</t>
        </is>
      </c>
      <c r="D125" t="n">
        <v>18.03</v>
      </c>
      <c r="E125" t="n">
        <v>54.14</v>
      </c>
      <c r="F125" t="n">
        <v>0.58</v>
      </c>
      <c r="G125" t="n">
        <v>45.52</v>
      </c>
      <c r="H125" t="n">
        <v>-15.75</v>
      </c>
      <c r="I125" t="n">
        <v>60</v>
      </c>
      <c r="J125" t="n">
        <v>70</v>
      </c>
      <c r="K125" t="n">
        <v>90</v>
      </c>
      <c r="L125" t="b">
        <v>0</v>
      </c>
      <c r="M125" t="b">
        <v>0</v>
      </c>
      <c r="N125" t="inlineStr">
        <is>
          <t>WATCH</t>
        </is>
      </c>
    </row>
    <row r="126">
      <c r="A126" t="n">
        <v>125</v>
      </c>
      <c r="B126" t="inlineStr">
        <is>
          <t>NTNX</t>
        </is>
      </c>
      <c r="C126" t="inlineStr">
        <is>
          <t>2026-07-30</t>
        </is>
      </c>
      <c r="D126" t="n">
        <v>59.1</v>
      </c>
      <c r="E126" t="n">
        <v>65.95</v>
      </c>
      <c r="F126" t="n">
        <v>0.44</v>
      </c>
      <c r="G126" t="n">
        <v>44.53</v>
      </c>
      <c r="H126" t="n">
        <v>-27.15</v>
      </c>
      <c r="I126" t="n">
        <v>60</v>
      </c>
      <c r="J126" t="n">
        <v>45</v>
      </c>
      <c r="K126" t="n">
        <v>90</v>
      </c>
      <c r="L126" t="b">
        <v>0</v>
      </c>
      <c r="M126" t="b">
        <v>0</v>
      </c>
      <c r="N126" t="inlineStr">
        <is>
          <t>WATCH</t>
        </is>
      </c>
    </row>
    <row r="127">
      <c r="A127" t="n">
        <v>126</v>
      </c>
      <c r="B127" t="inlineStr">
        <is>
          <t>IOVA</t>
        </is>
      </c>
      <c r="C127" t="inlineStr">
        <is>
          <t>2026-07-30</t>
        </is>
      </c>
      <c r="D127" t="n">
        <v>4.75</v>
      </c>
      <c r="E127" t="n">
        <v>58.33</v>
      </c>
      <c r="F127" t="n">
        <v>0.53</v>
      </c>
      <c r="G127" t="n">
        <v>41.37</v>
      </c>
      <c r="H127" t="n">
        <v>-13.32</v>
      </c>
      <c r="I127" t="n">
        <v>60</v>
      </c>
      <c r="J127" t="n">
        <v>85</v>
      </c>
      <c r="K127" t="n">
        <v>90</v>
      </c>
      <c r="L127" t="b">
        <v>0</v>
      </c>
      <c r="M127" t="b">
        <v>0</v>
      </c>
      <c r="N127" t="inlineStr">
        <is>
          <t>WATCH</t>
        </is>
      </c>
    </row>
    <row r="128">
      <c r="A128" t="n">
        <v>127</v>
      </c>
      <c r="B128" t="inlineStr">
        <is>
          <t>MEDP</t>
        </is>
      </c>
      <c r="C128" t="inlineStr">
        <is>
          <t>2026-07-30</t>
        </is>
      </c>
      <c r="D128" t="n">
        <v>583.42</v>
      </c>
      <c r="E128" t="n">
        <v>62.92</v>
      </c>
      <c r="F128" t="n">
        <v>0.48</v>
      </c>
      <c r="G128" t="n">
        <v>39.35</v>
      </c>
      <c r="H128" t="n">
        <v>-5.99</v>
      </c>
      <c r="I128" t="n">
        <v>50</v>
      </c>
      <c r="J128" t="n">
        <v>70</v>
      </c>
      <c r="K128" t="n">
        <v>90</v>
      </c>
      <c r="L128" t="b">
        <v>0</v>
      </c>
      <c r="M128" t="b">
        <v>0</v>
      </c>
      <c r="N128" t="inlineStr">
        <is>
          <t>WATCH</t>
        </is>
      </c>
    </row>
    <row r="129">
      <c r="A129" t="n">
        <v>128</v>
      </c>
      <c r="B129" t="inlineStr">
        <is>
          <t>JBLU</t>
        </is>
      </c>
      <c r="C129" t="inlineStr">
        <is>
          <t>2026-07-30</t>
        </is>
      </c>
      <c r="D129" t="n">
        <v>6.05</v>
      </c>
      <c r="E129" t="n">
        <v>54.8</v>
      </c>
      <c r="F129" t="n">
        <v>0.97</v>
      </c>
      <c r="G129" t="n">
        <v>29.94</v>
      </c>
      <c r="H129" t="n">
        <v>-6.27</v>
      </c>
      <c r="I129" t="n">
        <v>60</v>
      </c>
      <c r="J129" t="n">
        <v>70</v>
      </c>
      <c r="K129" t="n">
        <v>90</v>
      </c>
      <c r="L129" t="b">
        <v>0</v>
      </c>
      <c r="M129" t="b">
        <v>0</v>
      </c>
      <c r="N129" t="inlineStr">
        <is>
          <t>WATCH</t>
        </is>
      </c>
    </row>
    <row r="130">
      <c r="A130" t="n">
        <v>129</v>
      </c>
      <c r="B130" t="inlineStr">
        <is>
          <t>INCY</t>
        </is>
      </c>
      <c r="C130" t="inlineStr">
        <is>
          <t>2026-07-30</t>
        </is>
      </c>
      <c r="D130" t="n">
        <v>123.33</v>
      </c>
      <c r="E130" t="n">
        <v>60.63</v>
      </c>
      <c r="F130" t="n">
        <v>0.73</v>
      </c>
      <c r="G130" t="n">
        <v>29.46</v>
      </c>
      <c r="H130" t="n">
        <v>-5.08</v>
      </c>
      <c r="I130" t="n">
        <v>60</v>
      </c>
      <c r="J130" t="n">
        <v>70</v>
      </c>
      <c r="K130" t="n">
        <v>90</v>
      </c>
      <c r="L130" t="b">
        <v>0</v>
      </c>
      <c r="M130" t="b">
        <v>0</v>
      </c>
      <c r="N130" t="inlineStr">
        <is>
          <t>WATCH</t>
        </is>
      </c>
    </row>
    <row r="131">
      <c r="A131" t="n">
        <v>130</v>
      </c>
      <c r="B131" t="inlineStr">
        <is>
          <t>LUNG</t>
        </is>
      </c>
      <c r="C131" t="inlineStr">
        <is>
          <t>2026-07-30</t>
        </is>
      </c>
      <c r="D131" t="n">
        <v>1.63</v>
      </c>
      <c r="E131" t="n">
        <v>55</v>
      </c>
      <c r="F131" t="n">
        <v>10.24</v>
      </c>
      <c r="G131" t="n">
        <v>27.43</v>
      </c>
      <c r="H131" t="n">
        <v>-48.22</v>
      </c>
      <c r="I131" t="n">
        <v>40</v>
      </c>
      <c r="J131" t="n">
        <v>85</v>
      </c>
      <c r="K131" t="n">
        <v>90</v>
      </c>
      <c r="L131" t="b">
        <v>0</v>
      </c>
      <c r="M131" t="b">
        <v>0</v>
      </c>
      <c r="N131" t="inlineStr">
        <is>
          <t>WATCH</t>
        </is>
      </c>
    </row>
    <row r="132">
      <c r="A132" t="n">
        <v>131</v>
      </c>
      <c r="B132" t="inlineStr">
        <is>
          <t>TILE</t>
        </is>
      </c>
      <c r="C132" t="inlineStr">
        <is>
          <t>2026-07-30</t>
        </is>
      </c>
      <c r="D132" t="n">
        <v>33.66</v>
      </c>
      <c r="E132" t="n">
        <v>52.43</v>
      </c>
      <c r="F132" t="n">
        <v>0.39</v>
      </c>
      <c r="G132" t="n">
        <v>20.85</v>
      </c>
      <c r="H132" t="n">
        <v>-6.34</v>
      </c>
      <c r="I132" t="n">
        <v>60</v>
      </c>
      <c r="J132" t="n">
        <v>85</v>
      </c>
      <c r="K132" t="n">
        <v>90</v>
      </c>
      <c r="L132" t="b">
        <v>0</v>
      </c>
      <c r="M132" t="b">
        <v>0</v>
      </c>
      <c r="N132" t="inlineStr">
        <is>
          <t>WATCH</t>
        </is>
      </c>
    </row>
    <row r="133">
      <c r="A133" t="n">
        <v>132</v>
      </c>
      <c r="B133" t="inlineStr">
        <is>
          <t>KHC</t>
        </is>
      </c>
      <c r="C133" t="inlineStr">
        <is>
          <t>2026-07-30</t>
        </is>
      </c>
      <c r="D133" t="n">
        <v>26.38</v>
      </c>
      <c r="E133" t="n">
        <v>61.97</v>
      </c>
      <c r="F133" t="n">
        <v>0.61</v>
      </c>
      <c r="G133" t="n">
        <v>18.53</v>
      </c>
      <c r="H133" t="n">
        <v>-4.49</v>
      </c>
      <c r="I133" t="n">
        <v>60</v>
      </c>
      <c r="J133" t="n">
        <v>85</v>
      </c>
      <c r="K133" t="n">
        <v>90</v>
      </c>
      <c r="L133" t="b">
        <v>0</v>
      </c>
      <c r="M133" t="b">
        <v>0</v>
      </c>
      <c r="N133" t="inlineStr">
        <is>
          <t>WATCH</t>
        </is>
      </c>
    </row>
    <row r="134">
      <c r="A134" t="n">
        <v>133</v>
      </c>
      <c r="B134" t="inlineStr">
        <is>
          <t>EXPE</t>
        </is>
      </c>
      <c r="C134" t="inlineStr">
        <is>
          <t>2026-07-30</t>
        </is>
      </c>
      <c r="D134" t="n">
        <v>292.74</v>
      </c>
      <c r="E134" t="n">
        <v>63.36</v>
      </c>
      <c r="F134" t="n">
        <v>0.6899999999999999</v>
      </c>
      <c r="G134" t="n">
        <v>18.12</v>
      </c>
      <c r="H134" t="n">
        <v>-3.79</v>
      </c>
      <c r="I134" t="n">
        <v>60</v>
      </c>
      <c r="J134" t="n">
        <v>70</v>
      </c>
      <c r="K134" t="n">
        <v>90</v>
      </c>
      <c r="L134" t="b">
        <v>0</v>
      </c>
      <c r="M134" t="b">
        <v>0</v>
      </c>
      <c r="N134" t="inlineStr">
        <is>
          <t>WATCH</t>
        </is>
      </c>
    </row>
    <row r="135">
      <c r="A135" t="n">
        <v>134</v>
      </c>
      <c r="B135" t="inlineStr">
        <is>
          <t>LAMR</t>
        </is>
      </c>
      <c r="C135" t="inlineStr">
        <is>
          <t>2026-07-30</t>
        </is>
      </c>
      <c r="D135" t="n">
        <v>160.54</v>
      </c>
      <c r="E135" t="n">
        <v>62.04</v>
      </c>
      <c r="F135" t="n">
        <v>0.76</v>
      </c>
      <c r="G135" t="n">
        <v>17.68</v>
      </c>
      <c r="H135" t="n">
        <v>-2.31</v>
      </c>
      <c r="I135" t="n">
        <v>60</v>
      </c>
      <c r="J135" t="n">
        <v>85</v>
      </c>
      <c r="K135" t="n">
        <v>90</v>
      </c>
      <c r="L135" t="b">
        <v>0</v>
      </c>
      <c r="M135" t="b">
        <v>0</v>
      </c>
      <c r="N135" t="inlineStr">
        <is>
          <t>WATCH</t>
        </is>
      </c>
    </row>
    <row r="136">
      <c r="A136" t="n">
        <v>135</v>
      </c>
      <c r="B136" t="inlineStr">
        <is>
          <t>COGT</t>
        </is>
      </c>
      <c r="C136" t="inlineStr">
        <is>
          <t>2026-07-30</t>
        </is>
      </c>
      <c r="D136" t="n">
        <v>41.22</v>
      </c>
      <c r="E136" t="n">
        <v>59.17</v>
      </c>
      <c r="F136" t="n">
        <v>0.42</v>
      </c>
      <c r="G136" t="n">
        <v>15.17</v>
      </c>
      <c r="H136" t="n">
        <v>-2.11</v>
      </c>
      <c r="I136" t="n">
        <v>60</v>
      </c>
      <c r="J136" t="n">
        <v>70</v>
      </c>
      <c r="K136" t="n">
        <v>90</v>
      </c>
      <c r="L136" t="b">
        <v>0</v>
      </c>
      <c r="M136" t="b">
        <v>0</v>
      </c>
      <c r="N136" t="inlineStr">
        <is>
          <t>WATCH</t>
        </is>
      </c>
    </row>
    <row r="137">
      <c r="A137" t="n">
        <v>136</v>
      </c>
      <c r="B137" t="inlineStr">
        <is>
          <t>HWC</t>
        </is>
      </c>
      <c r="C137" t="inlineStr">
        <is>
          <t>2026-07-30</t>
        </is>
      </c>
      <c r="D137" t="n">
        <v>76.88</v>
      </c>
      <c r="E137" t="n">
        <v>57.27</v>
      </c>
      <c r="F137" t="n">
        <v>0.37</v>
      </c>
      <c r="G137" t="n">
        <v>14.71</v>
      </c>
      <c r="H137" t="n">
        <v>-2.88</v>
      </c>
      <c r="I137" t="n">
        <v>60</v>
      </c>
      <c r="J137" t="n">
        <v>85</v>
      </c>
      <c r="K137" t="n">
        <v>90</v>
      </c>
      <c r="L137" t="b">
        <v>0</v>
      </c>
      <c r="M137" t="b">
        <v>0</v>
      </c>
      <c r="N137" t="inlineStr">
        <is>
          <t>WATCH</t>
        </is>
      </c>
    </row>
    <row r="138">
      <c r="A138" t="n">
        <v>137</v>
      </c>
      <c r="B138" t="inlineStr">
        <is>
          <t>FULT</t>
        </is>
      </c>
      <c r="C138" t="inlineStr">
        <is>
          <t>2026-07-30</t>
        </is>
      </c>
      <c r="D138" t="n">
        <v>24.42</v>
      </c>
      <c r="E138" t="n">
        <v>53.82</v>
      </c>
      <c r="F138" t="n">
        <v>0.6</v>
      </c>
      <c r="G138" t="n">
        <v>14</v>
      </c>
      <c r="H138" t="n">
        <v>-3.06</v>
      </c>
      <c r="I138" t="n">
        <v>60</v>
      </c>
      <c r="J138" t="n">
        <v>85</v>
      </c>
      <c r="K138" t="n">
        <v>90</v>
      </c>
      <c r="L138" t="b">
        <v>0</v>
      </c>
      <c r="M138" t="b">
        <v>0</v>
      </c>
      <c r="N138" t="inlineStr">
        <is>
          <t>WATCH</t>
        </is>
      </c>
    </row>
    <row r="139">
      <c r="A139" t="n">
        <v>138</v>
      </c>
      <c r="B139" t="inlineStr">
        <is>
          <t>CNOB</t>
        </is>
      </c>
      <c r="C139" t="inlineStr">
        <is>
          <t>2026-07-30</t>
        </is>
      </c>
      <c r="D139" t="n">
        <v>33</v>
      </c>
      <c r="E139" t="n">
        <v>54.47</v>
      </c>
      <c r="F139" t="n">
        <v>0.51</v>
      </c>
      <c r="G139" t="n">
        <v>13.69</v>
      </c>
      <c r="H139" t="n">
        <v>-3.25</v>
      </c>
      <c r="I139" t="n">
        <v>60</v>
      </c>
      <c r="J139" t="n">
        <v>85</v>
      </c>
      <c r="K139" t="n">
        <v>90</v>
      </c>
      <c r="L139" t="b">
        <v>0</v>
      </c>
      <c r="M139" t="b">
        <v>0</v>
      </c>
      <c r="N139" t="inlineStr">
        <is>
          <t>WATCH</t>
        </is>
      </c>
    </row>
    <row r="140">
      <c r="A140" t="n">
        <v>139</v>
      </c>
      <c r="B140" t="inlineStr">
        <is>
          <t>PCAR</t>
        </is>
      </c>
      <c r="C140" t="inlineStr">
        <is>
          <t>2026-07-30</t>
        </is>
      </c>
      <c r="D140" t="n">
        <v>134.18</v>
      </c>
      <c r="E140" t="n">
        <v>68.11</v>
      </c>
      <c r="F140" t="n">
        <v>0.67</v>
      </c>
      <c r="G140" t="n">
        <v>13.3</v>
      </c>
      <c r="H140" t="n">
        <v>-2.92</v>
      </c>
      <c r="I140" t="n">
        <v>60</v>
      </c>
      <c r="J140" t="n">
        <v>45</v>
      </c>
      <c r="K140" t="n">
        <v>90</v>
      </c>
      <c r="L140" t="b">
        <v>0</v>
      </c>
      <c r="M140" t="b">
        <v>0</v>
      </c>
      <c r="N140" t="inlineStr">
        <is>
          <t>WATCH</t>
        </is>
      </c>
    </row>
    <row r="141">
      <c r="A141" t="n">
        <v>140</v>
      </c>
      <c r="B141" t="inlineStr">
        <is>
          <t>CVBF</t>
        </is>
      </c>
      <c r="C141" t="inlineStr">
        <is>
          <t>2026-07-30</t>
        </is>
      </c>
      <c r="D141" t="n">
        <v>22.81</v>
      </c>
      <c r="E141" t="n">
        <v>56.39</v>
      </c>
      <c r="F141" t="n">
        <v>0.41</v>
      </c>
      <c r="G141" t="n">
        <v>13</v>
      </c>
      <c r="H141" t="n">
        <v>-2.1</v>
      </c>
      <c r="I141" t="n">
        <v>60</v>
      </c>
      <c r="J141" t="n">
        <v>85</v>
      </c>
      <c r="K141" t="n">
        <v>90</v>
      </c>
      <c r="L141" t="b">
        <v>0</v>
      </c>
      <c r="M141" t="b">
        <v>0</v>
      </c>
      <c r="N141" t="inlineStr">
        <is>
          <t>WATCH</t>
        </is>
      </c>
    </row>
    <row r="142">
      <c r="A142" t="n">
        <v>141</v>
      </c>
      <c r="B142" t="inlineStr">
        <is>
          <t>NMIH</t>
        </is>
      </c>
      <c r="C142" t="inlineStr">
        <is>
          <t>2026-07-30</t>
        </is>
      </c>
      <c r="D142" t="n">
        <v>43.3</v>
      </c>
      <c r="E142" t="n">
        <v>62.27</v>
      </c>
      <c r="F142" t="n">
        <v>0.43</v>
      </c>
      <c r="G142" t="n">
        <v>11.86</v>
      </c>
      <c r="H142" t="n">
        <v>-2.35</v>
      </c>
      <c r="I142" t="n">
        <v>60</v>
      </c>
      <c r="J142" t="n">
        <v>85</v>
      </c>
      <c r="K142" t="n">
        <v>90</v>
      </c>
      <c r="L142" t="b">
        <v>0</v>
      </c>
      <c r="M142" t="b">
        <v>0</v>
      </c>
      <c r="N142" t="inlineStr">
        <is>
          <t>WATCH</t>
        </is>
      </c>
    </row>
    <row r="143">
      <c r="A143" t="n">
        <v>142</v>
      </c>
      <c r="B143" t="inlineStr">
        <is>
          <t>ONB</t>
        </is>
      </c>
      <c r="C143" t="inlineStr">
        <is>
          <t>2026-07-30</t>
        </is>
      </c>
      <c r="D143" t="n">
        <v>26.48</v>
      </c>
      <c r="E143" t="n">
        <v>53.3</v>
      </c>
      <c r="F143" t="n">
        <v>0.48</v>
      </c>
      <c r="G143" t="n">
        <v>11.14</v>
      </c>
      <c r="H143" t="n">
        <v>-2.97</v>
      </c>
      <c r="I143" t="n">
        <v>60</v>
      </c>
      <c r="J143" t="n">
        <v>85</v>
      </c>
      <c r="K143" t="n">
        <v>90</v>
      </c>
      <c r="L143" t="b">
        <v>0</v>
      </c>
      <c r="M143" t="b">
        <v>0</v>
      </c>
      <c r="N143" t="inlineStr">
        <is>
          <t>WATCH</t>
        </is>
      </c>
    </row>
    <row r="144">
      <c r="A144" t="n">
        <v>143</v>
      </c>
      <c r="B144" t="inlineStr">
        <is>
          <t>RNST</t>
        </is>
      </c>
      <c r="C144" t="inlineStr">
        <is>
          <t>2026-07-30</t>
        </is>
      </c>
      <c r="D144" t="n">
        <v>43.56</v>
      </c>
      <c r="E144" t="n">
        <v>60.04</v>
      </c>
      <c r="F144" t="n">
        <v>0.62</v>
      </c>
      <c r="G144" t="n">
        <v>9.83</v>
      </c>
      <c r="H144" t="n">
        <v>-1.56</v>
      </c>
      <c r="I144" t="n">
        <v>60</v>
      </c>
      <c r="J144" t="n">
        <v>85</v>
      </c>
      <c r="K144" t="n">
        <v>90</v>
      </c>
      <c r="L144" t="b">
        <v>0</v>
      </c>
      <c r="M144" t="b">
        <v>0</v>
      </c>
      <c r="N144" t="inlineStr">
        <is>
          <t>WATCH</t>
        </is>
      </c>
    </row>
    <row r="145">
      <c r="A145" t="n">
        <v>144</v>
      </c>
      <c r="B145" t="inlineStr">
        <is>
          <t>SSB</t>
        </is>
      </c>
      <c r="C145" t="inlineStr">
        <is>
          <t>2026-07-30</t>
        </is>
      </c>
      <c r="D145" t="n">
        <v>105.54</v>
      </c>
      <c r="E145" t="n">
        <v>68.8</v>
      </c>
      <c r="F145" t="n">
        <v>0.34</v>
      </c>
      <c r="G145" t="n">
        <v>8.73</v>
      </c>
      <c r="H145" t="n">
        <v>-1.5</v>
      </c>
      <c r="I145" t="n">
        <v>60</v>
      </c>
      <c r="J145" t="n">
        <v>45</v>
      </c>
      <c r="K145" t="n">
        <v>90</v>
      </c>
      <c r="L145" t="b">
        <v>0</v>
      </c>
      <c r="M145" t="b">
        <v>0</v>
      </c>
      <c r="N145" t="inlineStr">
        <is>
          <t>WATCH</t>
        </is>
      </c>
    </row>
    <row r="146">
      <c r="A146" t="n">
        <v>145</v>
      </c>
      <c r="B146" t="inlineStr">
        <is>
          <t>ABNB</t>
        </is>
      </c>
      <c r="C146" t="inlineStr">
        <is>
          <t>2026-07-30</t>
        </is>
      </c>
      <c r="D146" t="n">
        <v>151.75</v>
      </c>
      <c r="E146" t="n">
        <v>54.88</v>
      </c>
      <c r="F146" t="n">
        <v>0.38</v>
      </c>
      <c r="G146" t="n">
        <v>8.109999999999999</v>
      </c>
      <c r="H146" t="n">
        <v>-0.89</v>
      </c>
      <c r="I146" t="n">
        <v>60</v>
      </c>
      <c r="J146" t="n">
        <v>70</v>
      </c>
      <c r="K146" t="n">
        <v>90</v>
      </c>
      <c r="L146" t="b">
        <v>0</v>
      </c>
      <c r="M146" t="b">
        <v>0</v>
      </c>
      <c r="N146" t="inlineStr">
        <is>
          <t>WATCH</t>
        </is>
      </c>
    </row>
    <row r="147">
      <c r="A147" t="n">
        <v>146</v>
      </c>
      <c r="B147" t="inlineStr">
        <is>
          <t>TRMK</t>
        </is>
      </c>
      <c r="C147" t="inlineStr">
        <is>
          <t>2026-07-30</t>
        </is>
      </c>
      <c r="D147" t="n">
        <v>47.5</v>
      </c>
      <c r="E147" t="n">
        <v>61.63</v>
      </c>
      <c r="F147" t="n">
        <v>0.55</v>
      </c>
      <c r="G147" t="n">
        <v>7.66</v>
      </c>
      <c r="H147" t="n">
        <v>-0.34</v>
      </c>
      <c r="I147" t="n">
        <v>60</v>
      </c>
      <c r="J147" t="n">
        <v>85</v>
      </c>
      <c r="K147" t="n">
        <v>90</v>
      </c>
      <c r="L147" t="b">
        <v>0</v>
      </c>
      <c r="M147" t="b">
        <v>0</v>
      </c>
      <c r="N147" t="inlineStr">
        <is>
          <t>WATCH</t>
        </is>
      </c>
    </row>
    <row r="148">
      <c r="A148" t="n">
        <v>147</v>
      </c>
      <c r="B148" t="inlineStr">
        <is>
          <t>RUSHA</t>
        </is>
      </c>
      <c r="C148" t="inlineStr">
        <is>
          <t>2026-07-30</t>
        </is>
      </c>
      <c r="D148" t="n">
        <v>79.47</v>
      </c>
      <c r="E148" t="n">
        <v>60.93</v>
      </c>
      <c r="F148" t="n">
        <v>1.22</v>
      </c>
      <c r="G148" t="n">
        <v>7.63</v>
      </c>
      <c r="H148" t="n">
        <v>-2.63</v>
      </c>
      <c r="I148" t="n">
        <v>60</v>
      </c>
      <c r="J148" t="n">
        <v>85</v>
      </c>
      <c r="K148" t="n">
        <v>90</v>
      </c>
      <c r="L148" t="b">
        <v>0</v>
      </c>
      <c r="M148" t="b">
        <v>0</v>
      </c>
      <c r="N148" t="inlineStr">
        <is>
          <t>WATCH</t>
        </is>
      </c>
    </row>
    <row r="149">
      <c r="A149" t="n">
        <v>148</v>
      </c>
      <c r="B149" t="inlineStr">
        <is>
          <t>PNFP</t>
        </is>
      </c>
      <c r="C149" t="inlineStr">
        <is>
          <t>2026-07-30</t>
        </is>
      </c>
      <c r="D149" t="n">
        <v>105.02</v>
      </c>
      <c r="E149" t="n">
        <v>60.91</v>
      </c>
      <c r="F149" t="n">
        <v>0.33</v>
      </c>
      <c r="G149" t="n">
        <v>6.68</v>
      </c>
      <c r="H149" t="n">
        <v>-0.22</v>
      </c>
      <c r="I149" t="n">
        <v>60</v>
      </c>
      <c r="J149" t="n">
        <v>70</v>
      </c>
      <c r="K149" t="n">
        <v>90</v>
      </c>
      <c r="L149" t="b">
        <v>0</v>
      </c>
      <c r="M149" t="b">
        <v>0</v>
      </c>
      <c r="N149" t="inlineStr">
        <is>
          <t>WATCH</t>
        </is>
      </c>
    </row>
    <row r="150">
      <c r="A150" t="n">
        <v>149</v>
      </c>
      <c r="B150" t="inlineStr">
        <is>
          <t>VOD</t>
        </is>
      </c>
      <c r="C150" t="inlineStr">
        <is>
          <t>2026-07-30</t>
        </is>
      </c>
      <c r="D150" t="n">
        <v>16.1</v>
      </c>
      <c r="E150" t="n">
        <v>65.14</v>
      </c>
      <c r="F150" t="n">
        <v>0.61</v>
      </c>
      <c r="G150" t="n">
        <v>3.84</v>
      </c>
      <c r="H150" t="n">
        <v>-1.74</v>
      </c>
      <c r="I150" t="n">
        <v>60</v>
      </c>
      <c r="J150" t="n">
        <v>45</v>
      </c>
      <c r="K150" t="n">
        <v>90</v>
      </c>
      <c r="L150" t="b">
        <v>0</v>
      </c>
      <c r="M150" t="b">
        <v>0</v>
      </c>
      <c r="N150" t="inlineStr">
        <is>
          <t>WATCH</t>
        </is>
      </c>
    </row>
    <row r="151">
      <c r="A151" t="n">
        <v>150</v>
      </c>
      <c r="B151" t="inlineStr">
        <is>
          <t>EA</t>
        </is>
      </c>
      <c r="C151" t="inlineStr">
        <is>
          <t>2026-07-30</t>
        </is>
      </c>
      <c r="D151" t="n">
        <v>209.48</v>
      </c>
      <c r="E151" t="n">
        <v>85.95</v>
      </c>
      <c r="F151" t="n">
        <v>1.19</v>
      </c>
      <c r="G151" t="n">
        <v>3.61</v>
      </c>
      <c r="H151" t="n">
        <v>0</v>
      </c>
      <c r="I151" t="n">
        <v>60</v>
      </c>
      <c r="J151" t="n">
        <v>75</v>
      </c>
      <c r="K151" t="n">
        <v>90</v>
      </c>
      <c r="L151" t="b">
        <v>0</v>
      </c>
      <c r="M151" t="b">
        <v>0</v>
      </c>
      <c r="N151" t="inlineStr">
        <is>
          <t>WATCH</t>
        </is>
      </c>
    </row>
    <row r="152">
      <c r="A152" t="n">
        <v>151</v>
      </c>
      <c r="B152" t="inlineStr">
        <is>
          <t>IEP</t>
        </is>
      </c>
      <c r="C152" t="inlineStr">
        <is>
          <t>2026-07-30</t>
        </is>
      </c>
      <c r="D152" t="n">
        <v>7.74</v>
      </c>
      <c r="E152" t="n">
        <v>60.54</v>
      </c>
      <c r="F152" t="n">
        <v>0.67</v>
      </c>
      <c r="G152" t="n">
        <v>-0.38</v>
      </c>
      <c r="H152" t="n">
        <v>-1.45</v>
      </c>
      <c r="I152" t="n">
        <v>60</v>
      </c>
      <c r="J152" t="n">
        <v>85</v>
      </c>
      <c r="K152" t="n">
        <v>90</v>
      </c>
      <c r="L152" t="b">
        <v>0</v>
      </c>
      <c r="M152" t="b">
        <v>0</v>
      </c>
      <c r="N152" t="inlineStr">
        <is>
          <t>WATCH</t>
        </is>
      </c>
    </row>
    <row r="153">
      <c r="A153" t="n">
        <v>152</v>
      </c>
      <c r="B153" t="inlineStr">
        <is>
          <t>PSNL</t>
        </is>
      </c>
      <c r="C153" t="inlineStr">
        <is>
          <t>2026-07-30</t>
        </is>
      </c>
      <c r="D153" t="n">
        <v>12.01</v>
      </c>
      <c r="E153" t="n">
        <v>34.58</v>
      </c>
      <c r="F153" t="n">
        <v>0.32</v>
      </c>
      <c r="G153" t="n">
        <v>117.57</v>
      </c>
      <c r="H153" t="n">
        <v>-23.94</v>
      </c>
      <c r="I153" t="n">
        <v>45</v>
      </c>
      <c r="J153" t="n">
        <v>45</v>
      </c>
      <c r="K153" t="n">
        <v>85</v>
      </c>
      <c r="L153" t="b">
        <v>0</v>
      </c>
      <c r="M153" t="b">
        <v>0</v>
      </c>
      <c r="N153" t="inlineStr">
        <is>
          <t>WATCH</t>
        </is>
      </c>
    </row>
    <row r="154">
      <c r="A154" t="n">
        <v>153</v>
      </c>
      <c r="B154" t="inlineStr">
        <is>
          <t>FATE</t>
        </is>
      </c>
      <c r="C154" t="inlineStr">
        <is>
          <t>2026-07-30</t>
        </is>
      </c>
      <c r="D154" t="n">
        <v>2.49</v>
      </c>
      <c r="E154" t="n">
        <v>24.37</v>
      </c>
      <c r="F154" t="n">
        <v>0.24</v>
      </c>
      <c r="G154" t="n">
        <v>99.2</v>
      </c>
      <c r="H154" t="n">
        <v>-19.94</v>
      </c>
      <c r="I154" t="n">
        <v>45</v>
      </c>
      <c r="J154" t="n">
        <v>45</v>
      </c>
      <c r="K154" t="n">
        <v>85</v>
      </c>
      <c r="L154" t="b">
        <v>0</v>
      </c>
      <c r="M154" t="b">
        <v>0</v>
      </c>
      <c r="N154" t="inlineStr">
        <is>
          <t>WATCH</t>
        </is>
      </c>
    </row>
    <row r="155">
      <c r="A155" t="n">
        <v>154</v>
      </c>
      <c r="B155" t="inlineStr">
        <is>
          <t>ATEX</t>
        </is>
      </c>
      <c r="C155" t="inlineStr">
        <is>
          <t>2026-07-30</t>
        </is>
      </c>
      <c r="D155" t="n">
        <v>92.79000000000001</v>
      </c>
      <c r="E155" t="n">
        <v>41.94</v>
      </c>
      <c r="F155" t="n">
        <v>0.44</v>
      </c>
      <c r="G155" t="n">
        <v>92.03</v>
      </c>
      <c r="H155" t="n">
        <v>-14.25</v>
      </c>
      <c r="I155" t="n">
        <v>45</v>
      </c>
      <c r="J155" t="n">
        <v>45</v>
      </c>
      <c r="K155" t="n">
        <v>85</v>
      </c>
      <c r="L155" t="b">
        <v>0</v>
      </c>
      <c r="M155" t="b">
        <v>0</v>
      </c>
      <c r="N155" t="inlineStr">
        <is>
          <t>WATCH</t>
        </is>
      </c>
    </row>
    <row r="156">
      <c r="A156" t="n">
        <v>155</v>
      </c>
      <c r="B156" t="inlineStr">
        <is>
          <t>OKTA</t>
        </is>
      </c>
      <c r="C156" t="inlineStr">
        <is>
          <t>2026-07-30</t>
        </is>
      </c>
      <c r="D156" t="n">
        <v>137.99</v>
      </c>
      <c r="E156" t="n">
        <v>49.28</v>
      </c>
      <c r="F156" t="n">
        <v>0.52</v>
      </c>
      <c r="G156" t="n">
        <v>87.37</v>
      </c>
      <c r="H156" t="n">
        <v>-10.75</v>
      </c>
      <c r="I156" t="n">
        <v>45</v>
      </c>
      <c r="J156" t="n">
        <v>70</v>
      </c>
      <c r="K156" t="n">
        <v>85</v>
      </c>
      <c r="L156" t="b">
        <v>0</v>
      </c>
      <c r="M156" t="b">
        <v>0</v>
      </c>
      <c r="N156" t="inlineStr">
        <is>
          <t>WATCH</t>
        </is>
      </c>
    </row>
    <row r="157">
      <c r="A157" t="n">
        <v>156</v>
      </c>
      <c r="B157" t="inlineStr">
        <is>
          <t>GH</t>
        </is>
      </c>
      <c r="C157" t="inlineStr">
        <is>
          <t>2026-07-30</t>
        </is>
      </c>
      <c r="D157" t="n">
        <v>152.77</v>
      </c>
      <c r="E157" t="n">
        <v>41.89</v>
      </c>
      <c r="F157" t="n">
        <v>0.76</v>
      </c>
      <c r="G157" t="n">
        <v>75.44</v>
      </c>
      <c r="H157" t="n">
        <v>-10.54</v>
      </c>
      <c r="I157" t="n">
        <v>45</v>
      </c>
      <c r="J157" t="n">
        <v>60</v>
      </c>
      <c r="K157" t="n">
        <v>85</v>
      </c>
      <c r="L157" t="b">
        <v>0</v>
      </c>
      <c r="M157" t="b">
        <v>0</v>
      </c>
      <c r="N157" t="inlineStr">
        <is>
          <t>WATCH</t>
        </is>
      </c>
    </row>
    <row r="158">
      <c r="A158" t="n">
        <v>157</v>
      </c>
      <c r="B158" t="inlineStr">
        <is>
          <t>CRWD</t>
        </is>
      </c>
      <c r="C158" t="inlineStr">
        <is>
          <t>2026-07-30</t>
        </is>
      </c>
      <c r="D158" t="n">
        <v>183.1</v>
      </c>
      <c r="E158" t="n">
        <v>46.71</v>
      </c>
      <c r="F158" t="n">
        <v>0.63</v>
      </c>
      <c r="G158" t="n">
        <v>64.3</v>
      </c>
      <c r="H158" t="n">
        <v>-13.11</v>
      </c>
      <c r="I158" t="n">
        <v>45</v>
      </c>
      <c r="J158" t="n">
        <v>70</v>
      </c>
      <c r="K158" t="n">
        <v>85</v>
      </c>
      <c r="L158" t="b">
        <v>0</v>
      </c>
      <c r="M158" t="b">
        <v>0</v>
      </c>
      <c r="N158" t="inlineStr">
        <is>
          <t>WATCH</t>
        </is>
      </c>
    </row>
    <row r="159">
      <c r="A159" t="n">
        <v>158</v>
      </c>
      <c r="B159" t="inlineStr">
        <is>
          <t>QLYS</t>
        </is>
      </c>
      <c r="C159" t="inlineStr">
        <is>
          <t>2026-07-30</t>
        </is>
      </c>
      <c r="D159" t="n">
        <v>140.9</v>
      </c>
      <c r="E159" t="n">
        <v>40.43</v>
      </c>
      <c r="F159" t="n">
        <v>0.91</v>
      </c>
      <c r="G159" t="n">
        <v>62.08</v>
      </c>
      <c r="H159" t="n">
        <v>-14.15</v>
      </c>
      <c r="I159" t="n">
        <v>45</v>
      </c>
      <c r="J159" t="n">
        <v>45</v>
      </c>
      <c r="K159" t="n">
        <v>85</v>
      </c>
      <c r="L159" t="b">
        <v>0</v>
      </c>
      <c r="M159" t="b">
        <v>0</v>
      </c>
      <c r="N159" t="inlineStr">
        <is>
          <t>WATCH</t>
        </is>
      </c>
    </row>
    <row r="160">
      <c r="A160" t="n">
        <v>159</v>
      </c>
      <c r="B160" t="inlineStr">
        <is>
          <t>TWST</t>
        </is>
      </c>
      <c r="C160" t="inlineStr">
        <is>
          <t>2026-07-30</t>
        </is>
      </c>
      <c r="D160" t="n">
        <v>90.45</v>
      </c>
      <c r="E160" t="n">
        <v>49.77</v>
      </c>
      <c r="F160" t="n">
        <v>0.78</v>
      </c>
      <c r="G160" t="n">
        <v>54.75</v>
      </c>
      <c r="H160" t="n">
        <v>-12.08</v>
      </c>
      <c r="I160" t="n">
        <v>45</v>
      </c>
      <c r="J160" t="n">
        <v>85</v>
      </c>
      <c r="K160" t="n">
        <v>85</v>
      </c>
      <c r="L160" t="b">
        <v>0</v>
      </c>
      <c r="M160" t="b">
        <v>0</v>
      </c>
      <c r="N160" t="inlineStr">
        <is>
          <t>WATCH</t>
        </is>
      </c>
    </row>
    <row r="161">
      <c r="A161" t="n">
        <v>160</v>
      </c>
      <c r="B161" t="inlineStr">
        <is>
          <t>MGNI</t>
        </is>
      </c>
      <c r="C161" t="inlineStr">
        <is>
          <t>2026-07-30</t>
        </is>
      </c>
      <c r="D161" t="n">
        <v>19.32</v>
      </c>
      <c r="E161" t="n">
        <v>41.02</v>
      </c>
      <c r="F161" t="n">
        <v>0.42</v>
      </c>
      <c r="G161" t="n">
        <v>50.7</v>
      </c>
      <c r="H161" t="n">
        <v>-27.15</v>
      </c>
      <c r="I161" t="n">
        <v>45</v>
      </c>
      <c r="J161" t="n">
        <v>60</v>
      </c>
      <c r="K161" t="n">
        <v>85</v>
      </c>
      <c r="L161" t="b">
        <v>0</v>
      </c>
      <c r="M161" t="b">
        <v>0</v>
      </c>
      <c r="N161" t="inlineStr">
        <is>
          <t>WATCH</t>
        </is>
      </c>
    </row>
    <row r="162">
      <c r="A162" t="n">
        <v>161</v>
      </c>
      <c r="B162" t="inlineStr">
        <is>
          <t>VRNS</t>
        </is>
      </c>
      <c r="C162" t="inlineStr">
        <is>
          <t>2026-07-30</t>
        </is>
      </c>
      <c r="D162" t="n">
        <v>39.62</v>
      </c>
      <c r="E162" t="n">
        <v>35.65</v>
      </c>
      <c r="F162" t="n">
        <v>0.67</v>
      </c>
      <c r="G162" t="n">
        <v>50.67</v>
      </c>
      <c r="H162" t="n">
        <v>-37.41</v>
      </c>
      <c r="I162" t="n">
        <v>45</v>
      </c>
      <c r="J162" t="n">
        <v>45</v>
      </c>
      <c r="K162" t="n">
        <v>85</v>
      </c>
      <c r="L162" t="b">
        <v>0</v>
      </c>
      <c r="M162" t="b">
        <v>0</v>
      </c>
      <c r="N162" t="inlineStr">
        <is>
          <t>WATCH</t>
        </is>
      </c>
    </row>
    <row r="163">
      <c r="A163" t="n">
        <v>162</v>
      </c>
      <c r="B163" t="inlineStr">
        <is>
          <t>IMVT</t>
        </is>
      </c>
      <c r="C163" t="inlineStr">
        <is>
          <t>2026-07-30</t>
        </is>
      </c>
      <c r="D163" t="n">
        <v>38.98</v>
      </c>
      <c r="E163" t="n">
        <v>45.71</v>
      </c>
      <c r="F163" t="n">
        <v>0.29</v>
      </c>
      <c r="G163" t="n">
        <v>43.6</v>
      </c>
      <c r="H163" t="n">
        <v>-5.14</v>
      </c>
      <c r="I163" t="n">
        <v>45</v>
      </c>
      <c r="J163" t="n">
        <v>85</v>
      </c>
      <c r="K163" t="n">
        <v>85</v>
      </c>
      <c r="L163" t="b">
        <v>0</v>
      </c>
      <c r="M163" t="b">
        <v>0</v>
      </c>
      <c r="N163" t="inlineStr">
        <is>
          <t>WATCH</t>
        </is>
      </c>
    </row>
    <row r="164">
      <c r="A164" t="n">
        <v>163</v>
      </c>
      <c r="B164" t="inlineStr">
        <is>
          <t>PUBM</t>
        </is>
      </c>
      <c r="C164" t="inlineStr">
        <is>
          <t>2026-07-30</t>
        </is>
      </c>
      <c r="D164" t="n">
        <v>12.73</v>
      </c>
      <c r="E164" t="n">
        <v>38.74</v>
      </c>
      <c r="F164" t="n">
        <v>0.38</v>
      </c>
      <c r="G164" t="n">
        <v>30.16</v>
      </c>
      <c r="H164" t="n">
        <v>-7.95</v>
      </c>
      <c r="I164" t="n">
        <v>45</v>
      </c>
      <c r="J164" t="n">
        <v>45</v>
      </c>
      <c r="K164" t="n">
        <v>85</v>
      </c>
      <c r="L164" t="b">
        <v>0</v>
      </c>
      <c r="M164" t="b">
        <v>0</v>
      </c>
      <c r="N164" t="inlineStr">
        <is>
          <t>WATCH</t>
        </is>
      </c>
    </row>
    <row r="165">
      <c r="A165" t="n">
        <v>164</v>
      </c>
      <c r="B165" t="inlineStr">
        <is>
          <t>NTRA</t>
        </is>
      </c>
      <c r="C165" t="inlineStr">
        <is>
          <t>2026-07-30</t>
        </is>
      </c>
      <c r="D165" t="n">
        <v>268.16</v>
      </c>
      <c r="E165" t="n">
        <v>48.56</v>
      </c>
      <c r="F165" t="n">
        <v>0.6899999999999999</v>
      </c>
      <c r="G165" t="n">
        <v>30.07</v>
      </c>
      <c r="H165" t="n">
        <v>-5.51</v>
      </c>
      <c r="I165" t="n">
        <v>45</v>
      </c>
      <c r="J165" t="n">
        <v>85</v>
      </c>
      <c r="K165" t="n">
        <v>85</v>
      </c>
      <c r="L165" t="b">
        <v>0</v>
      </c>
      <c r="M165" t="b">
        <v>0</v>
      </c>
      <c r="N165" t="inlineStr">
        <is>
          <t>WATCH</t>
        </is>
      </c>
    </row>
    <row r="166">
      <c r="A166" t="n">
        <v>165</v>
      </c>
      <c r="B166" t="inlineStr">
        <is>
          <t>EXEL</t>
        </is>
      </c>
      <c r="C166" t="inlineStr">
        <is>
          <t>2026-07-30</t>
        </is>
      </c>
      <c r="D166" t="n">
        <v>55.69</v>
      </c>
      <c r="E166" t="n">
        <v>44.27</v>
      </c>
      <c r="F166" t="n">
        <v>0.35</v>
      </c>
      <c r="G166" t="n">
        <v>25.26</v>
      </c>
      <c r="H166" t="n">
        <v>-2.47</v>
      </c>
      <c r="I166" t="n">
        <v>45</v>
      </c>
      <c r="J166" t="n">
        <v>60</v>
      </c>
      <c r="K166" t="n">
        <v>85</v>
      </c>
      <c r="L166" t="b">
        <v>0</v>
      </c>
      <c r="M166" t="b">
        <v>0</v>
      </c>
      <c r="N166" t="inlineStr">
        <is>
          <t>WATCH</t>
        </is>
      </c>
    </row>
    <row r="167">
      <c r="A167" t="n">
        <v>166</v>
      </c>
      <c r="B167" t="inlineStr">
        <is>
          <t>CROX</t>
        </is>
      </c>
      <c r="C167" t="inlineStr">
        <is>
          <t>2026-07-30</t>
        </is>
      </c>
      <c r="D167" t="n">
        <v>122.85</v>
      </c>
      <c r="E167" t="n">
        <v>36.2</v>
      </c>
      <c r="F167" t="n">
        <v>2.13</v>
      </c>
      <c r="G167" t="n">
        <v>20.46</v>
      </c>
      <c r="H167" t="n">
        <v>-11.56</v>
      </c>
      <c r="I167" t="n">
        <v>35</v>
      </c>
      <c r="J167" t="n">
        <v>40</v>
      </c>
      <c r="K167" t="n">
        <v>85</v>
      </c>
      <c r="L167" t="b">
        <v>0</v>
      </c>
      <c r="M167" t="b">
        <v>0</v>
      </c>
      <c r="N167" t="inlineStr">
        <is>
          <t>WATCH</t>
        </is>
      </c>
    </row>
    <row r="168">
      <c r="A168" t="n">
        <v>167</v>
      </c>
      <c r="B168" t="inlineStr">
        <is>
          <t>CLDX</t>
        </is>
      </c>
      <c r="C168" t="inlineStr">
        <is>
          <t>2026-07-30</t>
        </is>
      </c>
      <c r="D168" t="n">
        <v>38.21</v>
      </c>
      <c r="E168" t="n">
        <v>45.02</v>
      </c>
      <c r="F168" t="n">
        <v>0.44</v>
      </c>
      <c r="G168" t="n">
        <v>16.2</v>
      </c>
      <c r="H168" t="n">
        <v>-4.32</v>
      </c>
      <c r="I168" t="n">
        <v>55</v>
      </c>
      <c r="J168" t="n">
        <v>85</v>
      </c>
      <c r="K168" t="n">
        <v>85</v>
      </c>
      <c r="L168" t="b">
        <v>0</v>
      </c>
      <c r="M168" t="b">
        <v>0</v>
      </c>
      <c r="N168" t="inlineStr">
        <is>
          <t>WATCH</t>
        </is>
      </c>
    </row>
    <row r="169">
      <c r="A169" t="n">
        <v>168</v>
      </c>
      <c r="B169" t="inlineStr">
        <is>
          <t>NTRS</t>
        </is>
      </c>
      <c r="C169" t="inlineStr">
        <is>
          <t>2026-07-30</t>
        </is>
      </c>
      <c r="D169" t="n">
        <v>182.63</v>
      </c>
      <c r="E169" t="n">
        <v>48.84</v>
      </c>
      <c r="F169" t="n">
        <v>0.32</v>
      </c>
      <c r="G169" t="n">
        <v>10.3</v>
      </c>
      <c r="H169" t="n">
        <v>-4.45</v>
      </c>
      <c r="I169" t="n">
        <v>55</v>
      </c>
      <c r="J169" t="n">
        <v>85</v>
      </c>
      <c r="K169" t="n">
        <v>85</v>
      </c>
      <c r="L169" t="b">
        <v>0</v>
      </c>
      <c r="M169" t="b">
        <v>0</v>
      </c>
      <c r="N169" t="inlineStr">
        <is>
          <t>WATCH</t>
        </is>
      </c>
    </row>
    <row r="170">
      <c r="A170" t="n">
        <v>169</v>
      </c>
      <c r="B170" t="inlineStr">
        <is>
          <t>PRGS</t>
        </is>
      </c>
      <c r="C170" t="inlineStr">
        <is>
          <t>2026-07-30</t>
        </is>
      </c>
      <c r="D170" t="n">
        <v>40</v>
      </c>
      <c r="E170" t="n">
        <v>56.56</v>
      </c>
      <c r="F170" t="n">
        <v>0.5</v>
      </c>
      <c r="G170" t="n">
        <v>43.63</v>
      </c>
      <c r="H170" t="n">
        <v>-18.57</v>
      </c>
      <c r="I170" t="n">
        <v>50</v>
      </c>
      <c r="J170" t="n">
        <v>85</v>
      </c>
      <c r="K170" t="n">
        <v>80</v>
      </c>
      <c r="L170" t="b">
        <v>0</v>
      </c>
      <c r="M170" t="b">
        <v>0</v>
      </c>
      <c r="N170" t="inlineStr">
        <is>
          <t>AVOID</t>
        </is>
      </c>
    </row>
    <row r="171">
      <c r="A171" t="n">
        <v>170</v>
      </c>
      <c r="B171" t="inlineStr">
        <is>
          <t>GSHD</t>
        </is>
      </c>
      <c r="C171" t="inlineStr">
        <is>
          <t>2026-07-30</t>
        </is>
      </c>
      <c r="D171" t="n">
        <v>63.53</v>
      </c>
      <c r="E171" t="n">
        <v>60.64</v>
      </c>
      <c r="F171" t="n">
        <v>0.79</v>
      </c>
      <c r="G171" t="n">
        <v>41.84</v>
      </c>
      <c r="H171" t="n">
        <v>-30.53</v>
      </c>
      <c r="I171" t="n">
        <v>50</v>
      </c>
      <c r="J171" t="n">
        <v>70</v>
      </c>
      <c r="K171" t="n">
        <v>80</v>
      </c>
      <c r="L171" t="b">
        <v>0</v>
      </c>
      <c r="M171" t="b">
        <v>0</v>
      </c>
      <c r="N171" t="inlineStr">
        <is>
          <t>AVOID</t>
        </is>
      </c>
    </row>
    <row r="172">
      <c r="A172" t="n">
        <v>171</v>
      </c>
      <c r="B172" t="inlineStr">
        <is>
          <t>SPT</t>
        </is>
      </c>
      <c r="C172" t="inlineStr">
        <is>
          <t>2026-07-30</t>
        </is>
      </c>
      <c r="D172" t="n">
        <v>8.359999999999999</v>
      </c>
      <c r="E172" t="n">
        <v>51.05</v>
      </c>
      <c r="F172" t="n">
        <v>0.61</v>
      </c>
      <c r="G172" t="n">
        <v>39.42</v>
      </c>
      <c r="H172" t="n">
        <v>-55</v>
      </c>
      <c r="I172" t="n">
        <v>50</v>
      </c>
      <c r="J172" t="n">
        <v>85</v>
      </c>
      <c r="K172" t="n">
        <v>80</v>
      </c>
      <c r="L172" t="b">
        <v>0</v>
      </c>
      <c r="M172" t="b">
        <v>0</v>
      </c>
      <c r="N172" t="inlineStr">
        <is>
          <t>AVOID</t>
        </is>
      </c>
    </row>
    <row r="173">
      <c r="A173" t="n">
        <v>172</v>
      </c>
      <c r="B173" t="inlineStr">
        <is>
          <t>MANH</t>
        </is>
      </c>
      <c r="C173" t="inlineStr">
        <is>
          <t>2026-07-30</t>
        </is>
      </c>
      <c r="D173" t="n">
        <v>189.6</v>
      </c>
      <c r="E173" t="n">
        <v>66.72</v>
      </c>
      <c r="F173" t="n">
        <v>1.18</v>
      </c>
      <c r="G173" t="n">
        <v>37.5</v>
      </c>
      <c r="H173" t="n">
        <v>-16.82</v>
      </c>
      <c r="I173" t="n">
        <v>50</v>
      </c>
      <c r="J173" t="n">
        <v>60</v>
      </c>
      <c r="K173" t="n">
        <v>80</v>
      </c>
      <c r="L173" t="b">
        <v>0</v>
      </c>
      <c r="M173" t="b">
        <v>0</v>
      </c>
      <c r="N173" t="inlineStr">
        <is>
          <t>AVOID</t>
        </is>
      </c>
    </row>
    <row r="174">
      <c r="A174" t="n">
        <v>173</v>
      </c>
      <c r="B174" t="inlineStr">
        <is>
          <t>SKYW</t>
        </is>
      </c>
      <c r="C174" t="inlineStr">
        <is>
          <t>2026-07-30</t>
        </is>
      </c>
      <c r="D174" t="n">
        <v>108.78</v>
      </c>
      <c r="E174" t="n">
        <v>61.73</v>
      </c>
      <c r="F174" t="n">
        <v>0.48</v>
      </c>
      <c r="G174" t="n">
        <v>32.46</v>
      </c>
      <c r="H174" t="n">
        <v>-12.08</v>
      </c>
      <c r="I174" t="n">
        <v>50</v>
      </c>
      <c r="J174" t="n">
        <v>70</v>
      </c>
      <c r="K174" t="n">
        <v>80</v>
      </c>
      <c r="L174" t="b">
        <v>0</v>
      </c>
      <c r="M174" t="b">
        <v>0</v>
      </c>
      <c r="N174" t="inlineStr">
        <is>
          <t>AVOID</t>
        </is>
      </c>
    </row>
    <row r="175">
      <c r="A175" t="n">
        <v>174</v>
      </c>
      <c r="B175" t="inlineStr">
        <is>
          <t>SLP</t>
        </is>
      </c>
      <c r="C175" t="inlineStr">
        <is>
          <t>2026-07-30</t>
        </is>
      </c>
      <c r="D175" t="n">
        <v>18.32</v>
      </c>
      <c r="E175" t="n">
        <v>65.38</v>
      </c>
      <c r="F175" t="n">
        <v>0.25</v>
      </c>
      <c r="G175" t="n">
        <v>29.29</v>
      </c>
      <c r="H175" t="n">
        <v>-12.09</v>
      </c>
      <c r="I175" t="n">
        <v>60</v>
      </c>
      <c r="J175" t="n">
        <v>60</v>
      </c>
      <c r="K175" t="n">
        <v>80</v>
      </c>
      <c r="L175" t="b">
        <v>0</v>
      </c>
      <c r="M175" t="b">
        <v>0</v>
      </c>
      <c r="N175" t="inlineStr">
        <is>
          <t>AVOID</t>
        </is>
      </c>
    </row>
    <row r="176">
      <c r="A176" t="n">
        <v>175</v>
      </c>
      <c r="B176" t="inlineStr">
        <is>
          <t>PAYX</t>
        </is>
      </c>
      <c r="C176" t="inlineStr">
        <is>
          <t>2026-07-30</t>
        </is>
      </c>
      <c r="D176" t="n">
        <v>116.38</v>
      </c>
      <c r="E176" t="n">
        <v>64.86</v>
      </c>
      <c r="F176" t="n">
        <v>0.68</v>
      </c>
      <c r="G176" t="n">
        <v>28.58</v>
      </c>
      <c r="H176" t="n">
        <v>-16.73</v>
      </c>
      <c r="I176" t="n">
        <v>60</v>
      </c>
      <c r="J176" t="n">
        <v>70</v>
      </c>
      <c r="K176" t="n">
        <v>80</v>
      </c>
      <c r="L176" t="b">
        <v>0</v>
      </c>
      <c r="M176" t="b">
        <v>0</v>
      </c>
      <c r="N176" t="inlineStr">
        <is>
          <t>AVOID</t>
        </is>
      </c>
    </row>
    <row r="177">
      <c r="A177" t="n">
        <v>176</v>
      </c>
      <c r="B177" t="inlineStr">
        <is>
          <t>ZBRA</t>
        </is>
      </c>
      <c r="C177" t="inlineStr">
        <is>
          <t>2026-07-30</t>
        </is>
      </c>
      <c r="D177" t="n">
        <v>289.27</v>
      </c>
      <c r="E177" t="n">
        <v>61.04</v>
      </c>
      <c r="F177" t="n">
        <v>0.76</v>
      </c>
      <c r="G177" t="n">
        <v>27.85</v>
      </c>
      <c r="H177" t="n">
        <v>-15.26</v>
      </c>
      <c r="I177" t="n">
        <v>60</v>
      </c>
      <c r="J177" t="n">
        <v>70</v>
      </c>
      <c r="K177" t="n">
        <v>80</v>
      </c>
      <c r="L177" t="b">
        <v>0</v>
      </c>
      <c r="M177" t="b">
        <v>0</v>
      </c>
      <c r="N177" t="inlineStr">
        <is>
          <t>AVOID</t>
        </is>
      </c>
    </row>
    <row r="178">
      <c r="A178" t="n">
        <v>177</v>
      </c>
      <c r="B178" t="inlineStr">
        <is>
          <t>TRIP</t>
        </is>
      </c>
      <c r="C178" t="inlineStr">
        <is>
          <t>2026-07-30</t>
        </is>
      </c>
      <c r="D178" t="n">
        <v>14.21</v>
      </c>
      <c r="E178" t="n">
        <v>52.15</v>
      </c>
      <c r="F178" t="n">
        <v>0.47</v>
      </c>
      <c r="G178" t="n">
        <v>27.67</v>
      </c>
      <c r="H178" t="n">
        <v>-25.76</v>
      </c>
      <c r="I178" t="n">
        <v>60</v>
      </c>
      <c r="J178" t="n">
        <v>85</v>
      </c>
      <c r="K178" t="n">
        <v>80</v>
      </c>
      <c r="L178" t="b">
        <v>0</v>
      </c>
      <c r="M178" t="b">
        <v>0</v>
      </c>
      <c r="N178" t="inlineStr">
        <is>
          <t>AVOID</t>
        </is>
      </c>
    </row>
    <row r="179">
      <c r="A179" t="n">
        <v>178</v>
      </c>
      <c r="B179" t="inlineStr">
        <is>
          <t>ADP</t>
        </is>
      </c>
      <c r="C179" t="inlineStr">
        <is>
          <t>2026-07-30</t>
        </is>
      </c>
      <c r="D179" t="n">
        <v>263.21</v>
      </c>
      <c r="E179" t="n">
        <v>63.61</v>
      </c>
      <c r="F179" t="n">
        <v>0.67</v>
      </c>
      <c r="G179" t="n">
        <v>25.13</v>
      </c>
      <c r="H179" t="n">
        <v>-13</v>
      </c>
      <c r="I179" t="n">
        <v>60</v>
      </c>
      <c r="J179" t="n">
        <v>70</v>
      </c>
      <c r="K179" t="n">
        <v>80</v>
      </c>
      <c r="L179" t="b">
        <v>0</v>
      </c>
      <c r="M179" t="b">
        <v>0</v>
      </c>
      <c r="N179" t="inlineStr">
        <is>
          <t>AVOID</t>
        </is>
      </c>
    </row>
    <row r="180">
      <c r="A180" t="n">
        <v>179</v>
      </c>
      <c r="B180" t="inlineStr">
        <is>
          <t>ALRM</t>
        </is>
      </c>
      <c r="C180" t="inlineStr">
        <is>
          <t>2026-07-30</t>
        </is>
      </c>
      <c r="D180" t="n">
        <v>54.32</v>
      </c>
      <c r="E180" t="n">
        <v>61.03</v>
      </c>
      <c r="F180" t="n">
        <v>0.39</v>
      </c>
      <c r="G180" t="n">
        <v>22.31</v>
      </c>
      <c r="H180" t="n">
        <v>-8.18</v>
      </c>
      <c r="I180" t="n">
        <v>50</v>
      </c>
      <c r="J180" t="n">
        <v>70</v>
      </c>
      <c r="K180" t="n">
        <v>80</v>
      </c>
      <c r="L180" t="b">
        <v>0</v>
      </c>
      <c r="M180" t="b">
        <v>0</v>
      </c>
      <c r="N180" t="inlineStr">
        <is>
          <t>AVOID</t>
        </is>
      </c>
    </row>
    <row r="181">
      <c r="A181" t="n">
        <v>180</v>
      </c>
      <c r="B181" t="inlineStr">
        <is>
          <t>HELE</t>
        </is>
      </c>
      <c r="C181" t="inlineStr">
        <is>
          <t>2026-07-30</t>
        </is>
      </c>
      <c r="D181" t="n">
        <v>27.77</v>
      </c>
      <c r="E181" t="n">
        <v>56.83</v>
      </c>
      <c r="F181" t="n">
        <v>0.28</v>
      </c>
      <c r="G181" t="n">
        <v>19.98</v>
      </c>
      <c r="H181" t="n">
        <v>-6.98</v>
      </c>
      <c r="I181" t="n">
        <v>60</v>
      </c>
      <c r="J181" t="n">
        <v>85</v>
      </c>
      <c r="K181" t="n">
        <v>80</v>
      </c>
      <c r="L181" t="b">
        <v>0</v>
      </c>
      <c r="M181" t="b">
        <v>0</v>
      </c>
      <c r="N181" t="inlineStr">
        <is>
          <t>AVOID</t>
        </is>
      </c>
    </row>
    <row r="182">
      <c r="A182" t="n">
        <v>181</v>
      </c>
      <c r="B182" t="inlineStr">
        <is>
          <t>FWONK</t>
        </is>
      </c>
      <c r="C182" t="inlineStr">
        <is>
          <t>2026-07-30</t>
        </is>
      </c>
      <c r="D182" t="n">
        <v>99.93000000000001</v>
      </c>
      <c r="E182" t="n">
        <v>58.87</v>
      </c>
      <c r="F182" t="n">
        <v>0.68</v>
      </c>
      <c r="G182" t="n">
        <v>16.27</v>
      </c>
      <c r="H182" t="n">
        <v>-7.75</v>
      </c>
      <c r="I182" t="n">
        <v>60</v>
      </c>
      <c r="J182" t="n">
        <v>85</v>
      </c>
      <c r="K182" t="n">
        <v>80</v>
      </c>
      <c r="L182" t="b">
        <v>0</v>
      </c>
      <c r="M182" t="b">
        <v>0</v>
      </c>
      <c r="N182" t="inlineStr">
        <is>
          <t>AVOID</t>
        </is>
      </c>
    </row>
    <row r="183">
      <c r="A183" t="n">
        <v>182</v>
      </c>
      <c r="B183" t="inlineStr">
        <is>
          <t>TCBK</t>
        </is>
      </c>
      <c r="C183" t="inlineStr">
        <is>
          <t>2026-07-30</t>
        </is>
      </c>
      <c r="D183" t="n">
        <v>58.01</v>
      </c>
      <c r="E183" t="n">
        <v>63.93</v>
      </c>
      <c r="F183" t="n">
        <v>0.17</v>
      </c>
      <c r="G183" t="n">
        <v>16.22</v>
      </c>
      <c r="H183" t="n">
        <v>-5.86</v>
      </c>
      <c r="I183" t="n">
        <v>60</v>
      </c>
      <c r="J183" t="n">
        <v>85</v>
      </c>
      <c r="K183" t="n">
        <v>80</v>
      </c>
      <c r="L183" t="b">
        <v>0</v>
      </c>
      <c r="M183" t="b">
        <v>0</v>
      </c>
      <c r="N183" t="inlineStr">
        <is>
          <t>AVOID</t>
        </is>
      </c>
    </row>
    <row r="184">
      <c r="A184" t="n">
        <v>183</v>
      </c>
      <c r="B184" t="inlineStr">
        <is>
          <t>TTWO</t>
        </is>
      </c>
      <c r="C184" t="inlineStr">
        <is>
          <t>2026-07-30</t>
        </is>
      </c>
      <c r="D184" t="n">
        <v>245.35</v>
      </c>
      <c r="E184" t="n">
        <v>52.05</v>
      </c>
      <c r="F184" t="n">
        <v>0.79</v>
      </c>
      <c r="G184" t="n">
        <v>14.78</v>
      </c>
      <c r="H184" t="n">
        <v>-6.46</v>
      </c>
      <c r="I184" t="n">
        <v>60</v>
      </c>
      <c r="J184" t="n">
        <v>85</v>
      </c>
      <c r="K184" t="n">
        <v>80</v>
      </c>
      <c r="L184" t="b">
        <v>0</v>
      </c>
      <c r="M184" t="b">
        <v>0</v>
      </c>
      <c r="N184" t="inlineStr">
        <is>
          <t>AVOID</t>
        </is>
      </c>
    </row>
    <row r="185">
      <c r="A185" t="n">
        <v>184</v>
      </c>
      <c r="B185" t="inlineStr">
        <is>
          <t>HSIC</t>
        </is>
      </c>
      <c r="C185" t="inlineStr">
        <is>
          <t>2026-07-30</t>
        </is>
      </c>
      <c r="D185" t="n">
        <v>84.84999999999999</v>
      </c>
      <c r="E185" t="n">
        <v>51.94</v>
      </c>
      <c r="F185" t="n">
        <v>0.41</v>
      </c>
      <c r="G185" t="n">
        <v>13.76</v>
      </c>
      <c r="H185" t="n">
        <v>-3.86</v>
      </c>
      <c r="I185" t="n">
        <v>50</v>
      </c>
      <c r="J185" t="n">
        <v>85</v>
      </c>
      <c r="K185" t="n">
        <v>80</v>
      </c>
      <c r="L185" t="b">
        <v>0</v>
      </c>
      <c r="M185" t="b">
        <v>0</v>
      </c>
      <c r="N185" t="inlineStr">
        <is>
          <t>AVOID</t>
        </is>
      </c>
    </row>
    <row r="186">
      <c r="A186" t="n">
        <v>185</v>
      </c>
      <c r="B186" t="inlineStr">
        <is>
          <t>BMRN</t>
        </is>
      </c>
      <c r="C186" t="inlineStr">
        <is>
          <t>2026-07-30</t>
        </is>
      </c>
      <c r="D186" t="n">
        <v>60.53</v>
      </c>
      <c r="E186" t="n">
        <v>57.82</v>
      </c>
      <c r="F186" t="n">
        <v>0.4</v>
      </c>
      <c r="G186" t="n">
        <v>12.28</v>
      </c>
      <c r="H186" t="n">
        <v>-5.54</v>
      </c>
      <c r="I186" t="n">
        <v>60</v>
      </c>
      <c r="J186" t="n">
        <v>85</v>
      </c>
      <c r="K186" t="n">
        <v>80</v>
      </c>
      <c r="L186" t="b">
        <v>0</v>
      </c>
      <c r="M186" t="b">
        <v>0</v>
      </c>
      <c r="N186" t="inlineStr">
        <is>
          <t>AVOID</t>
        </is>
      </c>
    </row>
    <row r="187">
      <c r="A187" t="n">
        <v>186</v>
      </c>
      <c r="B187" t="inlineStr">
        <is>
          <t>MSFT</t>
        </is>
      </c>
      <c r="C187" t="inlineStr">
        <is>
          <t>2026-07-30</t>
        </is>
      </c>
      <c r="D187" t="n">
        <v>455.6</v>
      </c>
      <c r="E187" t="n">
        <v>74.44</v>
      </c>
      <c r="F187" t="n">
        <v>2.61</v>
      </c>
      <c r="G187" t="n">
        <v>11.97</v>
      </c>
      <c r="H187" t="n">
        <v>-15.42</v>
      </c>
      <c r="I187" t="n">
        <v>40</v>
      </c>
      <c r="J187" t="n">
        <v>60</v>
      </c>
      <c r="K187" t="n">
        <v>80</v>
      </c>
      <c r="L187" t="b">
        <v>0</v>
      </c>
      <c r="M187" t="b">
        <v>0</v>
      </c>
      <c r="N187" t="inlineStr">
        <is>
          <t>AVOID</t>
        </is>
      </c>
    </row>
    <row r="188">
      <c r="A188" t="n">
        <v>187</v>
      </c>
      <c r="B188" t="inlineStr">
        <is>
          <t>STRA</t>
        </is>
      </c>
      <c r="C188" t="inlineStr">
        <is>
          <t>2026-07-30</t>
        </is>
      </c>
      <c r="D188" t="n">
        <v>85.59</v>
      </c>
      <c r="E188" t="n">
        <v>52.15</v>
      </c>
      <c r="F188" t="n">
        <v>1.17</v>
      </c>
      <c r="G188" t="n">
        <v>10.01</v>
      </c>
      <c r="H188" t="n">
        <v>-2.32</v>
      </c>
      <c r="I188" t="n">
        <v>50</v>
      </c>
      <c r="J188" t="n">
        <v>85</v>
      </c>
      <c r="K188" t="n">
        <v>80</v>
      </c>
      <c r="L188" t="b">
        <v>0</v>
      </c>
      <c r="M188" t="b">
        <v>0</v>
      </c>
      <c r="N188" t="inlineStr">
        <is>
          <t>AVOID</t>
        </is>
      </c>
    </row>
    <row r="189">
      <c r="A189" t="n">
        <v>188</v>
      </c>
      <c r="B189" t="inlineStr">
        <is>
          <t>BIIB</t>
        </is>
      </c>
      <c r="C189" t="inlineStr">
        <is>
          <t>2026-07-30</t>
        </is>
      </c>
      <c r="D189" t="n">
        <v>207.8</v>
      </c>
      <c r="E189" t="n">
        <v>55.51</v>
      </c>
      <c r="F189" t="n">
        <v>0.36</v>
      </c>
      <c r="G189" t="n">
        <v>9.789999999999999</v>
      </c>
      <c r="H189" t="n">
        <v>-4.07</v>
      </c>
      <c r="I189" t="n">
        <v>60</v>
      </c>
      <c r="J189" t="n">
        <v>85</v>
      </c>
      <c r="K189" t="n">
        <v>80</v>
      </c>
      <c r="L189" t="b">
        <v>0</v>
      </c>
      <c r="M189" t="b">
        <v>0</v>
      </c>
      <c r="N189" t="inlineStr">
        <is>
          <t>AVOID</t>
        </is>
      </c>
    </row>
    <row r="190">
      <c r="A190" t="n">
        <v>189</v>
      </c>
      <c r="B190" t="inlineStr">
        <is>
          <t>INDB</t>
        </is>
      </c>
      <c r="C190" t="inlineStr">
        <is>
          <t>2026-07-30</t>
        </is>
      </c>
      <c r="D190" t="n">
        <v>84.88</v>
      </c>
      <c r="E190" t="n">
        <v>55.12</v>
      </c>
      <c r="F190" t="n">
        <v>0.7</v>
      </c>
      <c r="G190" t="n">
        <v>9.65</v>
      </c>
      <c r="H190" t="n">
        <v>-2.63</v>
      </c>
      <c r="I190" t="n">
        <v>60</v>
      </c>
      <c r="J190" t="n">
        <v>85</v>
      </c>
      <c r="K190" t="n">
        <v>80</v>
      </c>
      <c r="L190" t="b">
        <v>0</v>
      </c>
      <c r="M190" t="b">
        <v>0</v>
      </c>
      <c r="N190" t="inlineStr">
        <is>
          <t>AVOID</t>
        </is>
      </c>
    </row>
    <row r="191">
      <c r="A191" t="n">
        <v>190</v>
      </c>
      <c r="B191" t="inlineStr">
        <is>
          <t>FRME</t>
        </is>
      </c>
      <c r="C191" t="inlineStr">
        <is>
          <t>2026-07-30</t>
        </is>
      </c>
      <c r="D191" t="n">
        <v>43.46</v>
      </c>
      <c r="E191" t="n">
        <v>52.15</v>
      </c>
      <c r="F191" t="n">
        <v>0.29</v>
      </c>
      <c r="G191" t="n">
        <v>8.470000000000001</v>
      </c>
      <c r="H191" t="n">
        <v>-3.91</v>
      </c>
      <c r="I191" t="n">
        <v>60</v>
      </c>
      <c r="J191" t="n">
        <v>85</v>
      </c>
      <c r="K191" t="n">
        <v>80</v>
      </c>
      <c r="L191" t="b">
        <v>0</v>
      </c>
      <c r="M191" t="b">
        <v>0</v>
      </c>
      <c r="N191" t="inlineStr">
        <is>
          <t>AVOID</t>
        </is>
      </c>
    </row>
    <row r="192">
      <c r="A192" t="n">
        <v>191</v>
      </c>
      <c r="B192" t="inlineStr">
        <is>
          <t>OZK</t>
        </is>
      </c>
      <c r="C192" t="inlineStr">
        <is>
          <t>2026-07-30</t>
        </is>
      </c>
      <c r="D192" t="n">
        <v>51.4</v>
      </c>
      <c r="E192" t="n">
        <v>57.73</v>
      </c>
      <c r="F192" t="n">
        <v>0.34</v>
      </c>
      <c r="G192" t="n">
        <v>7.75</v>
      </c>
      <c r="H192" t="n">
        <v>-3.18</v>
      </c>
      <c r="I192" t="n">
        <v>60</v>
      </c>
      <c r="J192" t="n">
        <v>85</v>
      </c>
      <c r="K192" t="n">
        <v>80</v>
      </c>
      <c r="L192" t="b">
        <v>0</v>
      </c>
      <c r="M192" t="b">
        <v>0</v>
      </c>
      <c r="N192" t="inlineStr">
        <is>
          <t>AVOID</t>
        </is>
      </c>
    </row>
    <row r="193">
      <c r="A193" t="n">
        <v>192</v>
      </c>
      <c r="B193" t="inlineStr">
        <is>
          <t>MTCH</t>
        </is>
      </c>
      <c r="C193" t="inlineStr">
        <is>
          <t>2026-07-30</t>
        </is>
      </c>
      <c r="D193" t="n">
        <v>39.28</v>
      </c>
      <c r="E193" t="n">
        <v>52.88</v>
      </c>
      <c r="F193" t="n">
        <v>0.3</v>
      </c>
      <c r="G193" t="n">
        <v>5.53</v>
      </c>
      <c r="H193" t="n">
        <v>-2.51</v>
      </c>
      <c r="I193" t="n">
        <v>60</v>
      </c>
      <c r="J193" t="n">
        <v>85</v>
      </c>
      <c r="K193" t="n">
        <v>80</v>
      </c>
      <c r="L193" t="b">
        <v>0</v>
      </c>
      <c r="M193" t="b">
        <v>0</v>
      </c>
      <c r="N193" t="inlineStr">
        <is>
          <t>AVOID</t>
        </is>
      </c>
    </row>
    <row r="194">
      <c r="A194" t="n">
        <v>193</v>
      </c>
      <c r="B194" t="inlineStr">
        <is>
          <t>BANR</t>
        </is>
      </c>
      <c r="C194" t="inlineStr">
        <is>
          <t>2026-07-30</t>
        </is>
      </c>
      <c r="D194" t="n">
        <v>69.95</v>
      </c>
      <c r="E194" t="n">
        <v>60.65</v>
      </c>
      <c r="F194" t="n">
        <v>0.24</v>
      </c>
      <c r="G194" t="n">
        <v>5.39</v>
      </c>
      <c r="H194" t="n">
        <v>-3.42</v>
      </c>
      <c r="I194" t="n">
        <v>60</v>
      </c>
      <c r="J194" t="n">
        <v>85</v>
      </c>
      <c r="K194" t="n">
        <v>80</v>
      </c>
      <c r="L194" t="b">
        <v>0</v>
      </c>
      <c r="M194" t="b">
        <v>0</v>
      </c>
      <c r="N194" t="inlineStr">
        <is>
          <t>AVOID</t>
        </is>
      </c>
    </row>
    <row r="195">
      <c r="A195" t="n">
        <v>194</v>
      </c>
      <c r="B195" t="inlineStr">
        <is>
          <t>PCRX</t>
        </is>
      </c>
      <c r="C195" t="inlineStr">
        <is>
          <t>2026-07-30</t>
        </is>
      </c>
      <c r="D195" t="n">
        <v>26.64</v>
      </c>
      <c r="E195" t="n">
        <v>64.36</v>
      </c>
      <c r="F195" t="n">
        <v>0.45</v>
      </c>
      <c r="G195" t="n">
        <v>4.51</v>
      </c>
      <c r="H195" t="n">
        <v>-2.13</v>
      </c>
      <c r="I195" t="n">
        <v>60</v>
      </c>
      <c r="J195" t="n">
        <v>70</v>
      </c>
      <c r="K195" t="n">
        <v>80</v>
      </c>
      <c r="L195" t="b">
        <v>0</v>
      </c>
      <c r="M195" t="b">
        <v>0</v>
      </c>
      <c r="N195" t="inlineStr">
        <is>
          <t>AVOID</t>
        </is>
      </c>
    </row>
    <row r="196">
      <c r="A196" t="n">
        <v>195</v>
      </c>
      <c r="B196" t="inlineStr">
        <is>
          <t>OCFC</t>
        </is>
      </c>
      <c r="C196" t="inlineStr">
        <is>
          <t>2026-07-30</t>
        </is>
      </c>
      <c r="D196" t="n">
        <v>19.74</v>
      </c>
      <c r="E196" t="n">
        <v>61.29</v>
      </c>
      <c r="F196" t="n">
        <v>0.53</v>
      </c>
      <c r="G196" t="n">
        <v>3.51</v>
      </c>
      <c r="H196" t="n">
        <v>-2.52</v>
      </c>
      <c r="I196" t="n">
        <v>60</v>
      </c>
      <c r="J196" t="n">
        <v>85</v>
      </c>
      <c r="K196" t="n">
        <v>80</v>
      </c>
      <c r="L196" t="b">
        <v>0</v>
      </c>
      <c r="M196" t="b">
        <v>0</v>
      </c>
      <c r="N196" t="inlineStr">
        <is>
          <t>AVOID</t>
        </is>
      </c>
    </row>
    <row r="197">
      <c r="A197" t="n">
        <v>196</v>
      </c>
      <c r="B197" t="inlineStr">
        <is>
          <t>NDSN</t>
        </is>
      </c>
      <c r="C197" t="inlineStr">
        <is>
          <t>2026-07-30</t>
        </is>
      </c>
      <c r="D197" t="n">
        <v>295.97</v>
      </c>
      <c r="E197" t="n">
        <v>61.44</v>
      </c>
      <c r="F197" t="n">
        <v>0.33</v>
      </c>
      <c r="G197" t="n">
        <v>2.9</v>
      </c>
      <c r="H197" t="n">
        <v>-2.85</v>
      </c>
      <c r="I197" t="n">
        <v>60</v>
      </c>
      <c r="J197" t="n">
        <v>85</v>
      </c>
      <c r="K197" t="n">
        <v>80</v>
      </c>
      <c r="L197" t="b">
        <v>0</v>
      </c>
      <c r="M197" t="b">
        <v>0</v>
      </c>
      <c r="N197" t="inlineStr">
        <is>
          <t>AVOID</t>
        </is>
      </c>
    </row>
    <row r="198">
      <c r="A198" t="n">
        <v>197</v>
      </c>
      <c r="B198" t="inlineStr">
        <is>
          <t>PI</t>
        </is>
      </c>
      <c r="C198" t="inlineStr">
        <is>
          <t>2026-07-30</t>
        </is>
      </c>
      <c r="D198" t="n">
        <v>147.45</v>
      </c>
      <c r="E198" t="n">
        <v>53.73</v>
      </c>
      <c r="F198" t="n">
        <v>2.42</v>
      </c>
      <c r="G198" t="n">
        <v>1.75</v>
      </c>
      <c r="H198" t="n">
        <v>-39.05</v>
      </c>
      <c r="I198" t="n">
        <v>50</v>
      </c>
      <c r="J198" t="n">
        <v>85</v>
      </c>
      <c r="K198" t="n">
        <v>80</v>
      </c>
      <c r="L198" t="b">
        <v>0</v>
      </c>
      <c r="M198" t="b">
        <v>0</v>
      </c>
      <c r="N198" t="inlineStr">
        <is>
          <t>AVOID</t>
        </is>
      </c>
    </row>
    <row r="199">
      <c r="A199" t="n">
        <v>198</v>
      </c>
      <c r="B199" t="inlineStr">
        <is>
          <t>APPS</t>
        </is>
      </c>
      <c r="C199" t="inlineStr">
        <is>
          <t>2026-07-30</t>
        </is>
      </c>
      <c r="D199" t="n">
        <v>8.130000000000001</v>
      </c>
      <c r="E199" t="n">
        <v>26.86</v>
      </c>
      <c r="F199" t="n">
        <v>0.43</v>
      </c>
      <c r="G199" t="n">
        <v>130.31</v>
      </c>
      <c r="H199" t="n">
        <v>-38.92</v>
      </c>
      <c r="I199" t="n">
        <v>35</v>
      </c>
      <c r="J199" t="n">
        <v>25</v>
      </c>
      <c r="K199" t="n">
        <v>75</v>
      </c>
      <c r="L199" t="b">
        <v>0</v>
      </c>
      <c r="M199" t="b">
        <v>0</v>
      </c>
      <c r="N199" t="inlineStr">
        <is>
          <t>AVOID</t>
        </is>
      </c>
    </row>
    <row r="200">
      <c r="A200" t="n">
        <v>199</v>
      </c>
      <c r="B200" t="inlineStr">
        <is>
          <t>HCAT</t>
        </is>
      </c>
      <c r="C200" t="inlineStr">
        <is>
          <t>2026-07-30</t>
        </is>
      </c>
      <c r="D200" t="n">
        <v>2.1</v>
      </c>
      <c r="E200" t="n">
        <v>33.61</v>
      </c>
      <c r="F200" t="n">
        <v>0.47</v>
      </c>
      <c r="G200" t="n">
        <v>67.59999999999999</v>
      </c>
      <c r="H200" t="n">
        <v>-45.16</v>
      </c>
      <c r="I200" t="n">
        <v>35</v>
      </c>
      <c r="J200" t="n">
        <v>45</v>
      </c>
      <c r="K200" t="n">
        <v>75</v>
      </c>
      <c r="L200" t="b">
        <v>0</v>
      </c>
      <c r="M200" t="b">
        <v>0</v>
      </c>
      <c r="N200" t="inlineStr">
        <is>
          <t>AVOID</t>
        </is>
      </c>
    </row>
    <row r="201">
      <c r="A201" t="n">
        <v>200</v>
      </c>
      <c r="B201" t="inlineStr">
        <is>
          <t>FROG</t>
        </is>
      </c>
      <c r="C201" t="inlineStr">
        <is>
          <t>2026-07-30</t>
        </is>
      </c>
      <c r="D201" t="n">
        <v>77.17</v>
      </c>
      <c r="E201" t="n">
        <v>31.77</v>
      </c>
      <c r="F201" t="n">
        <v>0.55</v>
      </c>
      <c r="G201" t="n">
        <v>66.17</v>
      </c>
      <c r="H201" t="n">
        <v>-21.34</v>
      </c>
      <c r="I201" t="n">
        <v>35</v>
      </c>
      <c r="J201" t="n">
        <v>25</v>
      </c>
      <c r="K201" t="n">
        <v>75</v>
      </c>
      <c r="L201" t="b">
        <v>0</v>
      </c>
      <c r="M201" t="b">
        <v>0</v>
      </c>
      <c r="N201" t="inlineStr">
        <is>
          <t>AVOID</t>
        </is>
      </c>
    </row>
    <row r="202">
      <c r="A202" t="n">
        <v>201</v>
      </c>
      <c r="B202" t="inlineStr">
        <is>
          <t>IART</t>
        </is>
      </c>
      <c r="C202" t="inlineStr">
        <is>
          <t>2026-07-30</t>
        </is>
      </c>
      <c r="D202" t="n">
        <v>17.22</v>
      </c>
      <c r="E202" t="n">
        <v>41.33</v>
      </c>
      <c r="F202" t="n">
        <v>0.96</v>
      </c>
      <c r="G202" t="n">
        <v>63.33</v>
      </c>
      <c r="H202" t="n">
        <v>-13.27</v>
      </c>
      <c r="I202" t="n">
        <v>35</v>
      </c>
      <c r="J202" t="n">
        <v>25</v>
      </c>
      <c r="K202" t="n">
        <v>75</v>
      </c>
      <c r="L202" t="b">
        <v>0</v>
      </c>
      <c r="M202" t="b">
        <v>0</v>
      </c>
      <c r="N202" t="inlineStr">
        <is>
          <t>AVOID</t>
        </is>
      </c>
    </row>
    <row r="203">
      <c r="A203" t="n">
        <v>202</v>
      </c>
      <c r="B203" t="inlineStr">
        <is>
          <t>CLOV</t>
        </is>
      </c>
      <c r="C203" t="inlineStr">
        <is>
          <t>2026-07-30</t>
        </is>
      </c>
      <c r="D203" t="n">
        <v>4.3</v>
      </c>
      <c r="E203" t="n">
        <v>46.68</v>
      </c>
      <c r="F203" t="n">
        <v>0.38</v>
      </c>
      <c r="G203" t="n">
        <v>56.18</v>
      </c>
      <c r="H203" t="n">
        <v>-20.61</v>
      </c>
      <c r="I203" t="n">
        <v>35</v>
      </c>
      <c r="J203" t="n">
        <v>50</v>
      </c>
      <c r="K203" t="n">
        <v>75</v>
      </c>
      <c r="L203" t="b">
        <v>0</v>
      </c>
      <c r="M203" t="b">
        <v>0</v>
      </c>
      <c r="N203" t="inlineStr">
        <is>
          <t>AVOID</t>
        </is>
      </c>
    </row>
    <row r="204">
      <c r="A204" t="n">
        <v>203</v>
      </c>
      <c r="B204" t="inlineStr">
        <is>
          <t>CYRX</t>
        </is>
      </c>
      <c r="C204" t="inlineStr">
        <is>
          <t>2026-07-30</t>
        </is>
      </c>
      <c r="D204" t="n">
        <v>15.15</v>
      </c>
      <c r="E204" t="n">
        <v>39.04</v>
      </c>
      <c r="F204" t="n">
        <v>0.28</v>
      </c>
      <c r="G204" t="n">
        <v>47.61</v>
      </c>
      <c r="H204" t="n">
        <v>-8.6</v>
      </c>
      <c r="I204" t="n">
        <v>35</v>
      </c>
      <c r="J204" t="n">
        <v>25</v>
      </c>
      <c r="K204" t="n">
        <v>75</v>
      </c>
      <c r="L204" t="b">
        <v>0</v>
      </c>
      <c r="M204" t="b">
        <v>0</v>
      </c>
      <c r="N204" t="inlineStr">
        <is>
          <t>AVOID</t>
        </is>
      </c>
    </row>
    <row r="205">
      <c r="A205" t="n">
        <v>204</v>
      </c>
      <c r="B205" t="inlineStr">
        <is>
          <t>ALKS</t>
        </is>
      </c>
      <c r="C205" t="inlineStr">
        <is>
          <t>2026-07-30</t>
        </is>
      </c>
      <c r="D205" t="n">
        <v>49.64</v>
      </c>
      <c r="E205" t="n">
        <v>38.79</v>
      </c>
      <c r="F205" t="n">
        <v>0.8100000000000001</v>
      </c>
      <c r="G205" t="n">
        <v>47.26</v>
      </c>
      <c r="H205" t="n">
        <v>-10.11</v>
      </c>
      <c r="I205" t="n">
        <v>45</v>
      </c>
      <c r="J205" t="n">
        <v>45</v>
      </c>
      <c r="K205" t="n">
        <v>75</v>
      </c>
      <c r="L205" t="b">
        <v>0</v>
      </c>
      <c r="M205" t="b">
        <v>0</v>
      </c>
      <c r="N205" t="inlineStr">
        <is>
          <t>AVOID</t>
        </is>
      </c>
    </row>
    <row r="206">
      <c r="A206" t="n">
        <v>205</v>
      </c>
      <c r="B206" t="inlineStr">
        <is>
          <t>KYMR</t>
        </is>
      </c>
      <c r="C206" t="inlineStr">
        <is>
          <t>2026-07-30</t>
        </is>
      </c>
      <c r="D206" t="n">
        <v>106.43</v>
      </c>
      <c r="E206" t="n">
        <v>29.4</v>
      </c>
      <c r="F206" t="n">
        <v>0.38</v>
      </c>
      <c r="G206" t="n">
        <v>31.28</v>
      </c>
      <c r="H206" t="n">
        <v>-10.83</v>
      </c>
      <c r="I206" t="n">
        <v>45</v>
      </c>
      <c r="J206" t="n">
        <v>45</v>
      </c>
      <c r="K206" t="n">
        <v>75</v>
      </c>
      <c r="L206" t="b">
        <v>0</v>
      </c>
      <c r="M206" t="b">
        <v>0</v>
      </c>
      <c r="N206" t="inlineStr">
        <is>
          <t>AVOID</t>
        </is>
      </c>
    </row>
    <row r="207">
      <c r="A207" t="n">
        <v>206</v>
      </c>
      <c r="B207" t="inlineStr">
        <is>
          <t>ALGT</t>
        </is>
      </c>
      <c r="C207" t="inlineStr">
        <is>
          <t>2026-07-30</t>
        </is>
      </c>
      <c r="D207" t="n">
        <v>98.45999999999999</v>
      </c>
      <c r="E207" t="n">
        <v>34.96</v>
      </c>
      <c r="F207" t="n">
        <v>0.47</v>
      </c>
      <c r="G207" t="n">
        <v>30.17</v>
      </c>
      <c r="H207" t="n">
        <v>-17.37</v>
      </c>
      <c r="I207" t="n">
        <v>45</v>
      </c>
      <c r="J207" t="n">
        <v>45</v>
      </c>
      <c r="K207" t="n">
        <v>75</v>
      </c>
      <c r="L207" t="b">
        <v>0</v>
      </c>
      <c r="M207" t="b">
        <v>0</v>
      </c>
      <c r="N207" t="inlineStr">
        <is>
          <t>AVOID</t>
        </is>
      </c>
    </row>
    <row r="208">
      <c r="A208" t="n">
        <v>207</v>
      </c>
      <c r="B208" t="inlineStr">
        <is>
          <t>LGND</t>
        </is>
      </c>
      <c r="C208" t="inlineStr">
        <is>
          <t>2026-07-30</t>
        </is>
      </c>
      <c r="D208" t="n">
        <v>293.96</v>
      </c>
      <c r="E208" t="n">
        <v>34.4</v>
      </c>
      <c r="F208" t="n">
        <v>0.4</v>
      </c>
      <c r="G208" t="n">
        <v>28.12</v>
      </c>
      <c r="H208" t="n">
        <v>-8.880000000000001</v>
      </c>
      <c r="I208" t="n">
        <v>45</v>
      </c>
      <c r="J208" t="n">
        <v>45</v>
      </c>
      <c r="K208" t="n">
        <v>75</v>
      </c>
      <c r="L208" t="b">
        <v>0</v>
      </c>
      <c r="M208" t="b">
        <v>0</v>
      </c>
      <c r="N208" t="inlineStr">
        <is>
          <t>AVOID</t>
        </is>
      </c>
    </row>
    <row r="209">
      <c r="A209" t="n">
        <v>208</v>
      </c>
      <c r="B209" t="inlineStr">
        <is>
          <t>CYTK</t>
        </is>
      </c>
      <c r="C209" t="inlineStr">
        <is>
          <t>2026-07-30</t>
        </is>
      </c>
      <c r="D209" t="n">
        <v>80.65000000000001</v>
      </c>
      <c r="E209" t="n">
        <v>37.04</v>
      </c>
      <c r="F209" t="n">
        <v>0.5600000000000001</v>
      </c>
      <c r="G209" t="n">
        <v>26.07</v>
      </c>
      <c r="H209" t="n">
        <v>-7.58</v>
      </c>
      <c r="I209" t="n">
        <v>45</v>
      </c>
      <c r="J209" t="n">
        <v>60</v>
      </c>
      <c r="K209" t="n">
        <v>75</v>
      </c>
      <c r="L209" t="b">
        <v>0</v>
      </c>
      <c r="M209" t="b">
        <v>0</v>
      </c>
      <c r="N209" t="inlineStr">
        <is>
          <t>AVOID</t>
        </is>
      </c>
    </row>
    <row r="210">
      <c r="A210" t="n">
        <v>209</v>
      </c>
      <c r="B210" t="inlineStr">
        <is>
          <t>ACRS</t>
        </is>
      </c>
      <c r="C210" t="inlineStr">
        <is>
          <t>2026-07-30</t>
        </is>
      </c>
      <c r="D210" t="n">
        <v>5.39</v>
      </c>
      <c r="E210" t="n">
        <v>45.86</v>
      </c>
      <c r="F210" t="n">
        <v>0.44</v>
      </c>
      <c r="G210" t="n">
        <v>24.31</v>
      </c>
      <c r="H210" t="n">
        <v>-5.52</v>
      </c>
      <c r="I210" t="n">
        <v>45</v>
      </c>
      <c r="J210" t="n">
        <v>85</v>
      </c>
      <c r="K210" t="n">
        <v>75</v>
      </c>
      <c r="L210" t="b">
        <v>0</v>
      </c>
      <c r="M210" t="b">
        <v>0</v>
      </c>
      <c r="N210" t="inlineStr">
        <is>
          <t>AVOID</t>
        </is>
      </c>
    </row>
    <row r="211">
      <c r="A211" t="n">
        <v>210</v>
      </c>
      <c r="B211" t="inlineStr">
        <is>
          <t>REYN</t>
        </is>
      </c>
      <c r="C211" t="inlineStr">
        <is>
          <t>2026-07-30</t>
        </is>
      </c>
      <c r="D211" t="n">
        <v>25.41</v>
      </c>
      <c r="E211" t="n">
        <v>36.67</v>
      </c>
      <c r="F211" t="n">
        <v>0.68</v>
      </c>
      <c r="G211" t="n">
        <v>22.45</v>
      </c>
      <c r="H211" t="n">
        <v>-6.53</v>
      </c>
      <c r="I211" t="n">
        <v>45</v>
      </c>
      <c r="J211" t="n">
        <v>60</v>
      </c>
      <c r="K211" t="n">
        <v>75</v>
      </c>
      <c r="L211" t="b">
        <v>0</v>
      </c>
      <c r="M211" t="b">
        <v>0</v>
      </c>
      <c r="N211" t="inlineStr">
        <is>
          <t>AVOID</t>
        </is>
      </c>
    </row>
    <row r="212">
      <c r="A212" t="n">
        <v>211</v>
      </c>
      <c r="B212" t="inlineStr">
        <is>
          <t>ZNTL</t>
        </is>
      </c>
      <c r="C212" t="inlineStr">
        <is>
          <t>2026-07-30</t>
        </is>
      </c>
      <c r="D212" t="n">
        <v>4.84</v>
      </c>
      <c r="E212" t="n">
        <v>49.08</v>
      </c>
      <c r="F212" t="n">
        <v>0.5</v>
      </c>
      <c r="G212" t="n">
        <v>20.57</v>
      </c>
      <c r="H212" t="n">
        <v>-26.85</v>
      </c>
      <c r="I212" t="n">
        <v>55</v>
      </c>
      <c r="J212" t="n">
        <v>85</v>
      </c>
      <c r="K212" t="n">
        <v>75</v>
      </c>
      <c r="L212" t="b">
        <v>0</v>
      </c>
      <c r="M212" t="b">
        <v>0</v>
      </c>
      <c r="N212" t="inlineStr">
        <is>
          <t>AVOID</t>
        </is>
      </c>
    </row>
    <row r="213">
      <c r="A213" t="n">
        <v>212</v>
      </c>
      <c r="B213" t="inlineStr">
        <is>
          <t>AGIO</t>
        </is>
      </c>
      <c r="C213" t="inlineStr">
        <is>
          <t>2026-07-30</t>
        </is>
      </c>
      <c r="D213" t="n">
        <v>32.91</v>
      </c>
      <c r="E213" t="n">
        <v>17.6</v>
      </c>
      <c r="F213" t="n">
        <v>2.05</v>
      </c>
      <c r="G213" t="n">
        <v>17.54</v>
      </c>
      <c r="H213" t="n">
        <v>-27.65</v>
      </c>
      <c r="I213" t="n">
        <v>35</v>
      </c>
      <c r="J213" t="n">
        <v>40</v>
      </c>
      <c r="K213" t="n">
        <v>75</v>
      </c>
      <c r="L213" t="b">
        <v>0</v>
      </c>
      <c r="M213" t="b">
        <v>0</v>
      </c>
      <c r="N213" t="inlineStr">
        <is>
          <t>AVOID</t>
        </is>
      </c>
    </row>
    <row r="214">
      <c r="A214" t="n">
        <v>213</v>
      </c>
      <c r="B214" t="inlineStr">
        <is>
          <t>SHC</t>
        </is>
      </c>
      <c r="C214" t="inlineStr">
        <is>
          <t>2026-07-30</t>
        </is>
      </c>
      <c r="D214" t="n">
        <v>17.78</v>
      </c>
      <c r="E214" t="n">
        <v>41.06</v>
      </c>
      <c r="F214" t="n">
        <v>0.24</v>
      </c>
      <c r="G214" t="n">
        <v>14.27</v>
      </c>
      <c r="H214" t="n">
        <v>-8.109999999999999</v>
      </c>
      <c r="I214" t="n">
        <v>55</v>
      </c>
      <c r="J214" t="n">
        <v>60</v>
      </c>
      <c r="K214" t="n">
        <v>75</v>
      </c>
      <c r="L214" t="b">
        <v>0</v>
      </c>
      <c r="M214" t="b">
        <v>0</v>
      </c>
      <c r="N214" t="inlineStr">
        <is>
          <t>AVOID</t>
        </is>
      </c>
    </row>
    <row r="215">
      <c r="A215" t="n">
        <v>214</v>
      </c>
      <c r="B215" t="inlineStr">
        <is>
          <t>TIGO</t>
        </is>
      </c>
      <c r="C215" t="inlineStr">
        <is>
          <t>2026-07-30</t>
        </is>
      </c>
      <c r="D215" t="n">
        <v>95.12</v>
      </c>
      <c r="E215" t="n">
        <v>45.53</v>
      </c>
      <c r="F215" t="n">
        <v>0.74</v>
      </c>
      <c r="G215" t="n">
        <v>12.98</v>
      </c>
      <c r="H215" t="n">
        <v>-3.53</v>
      </c>
      <c r="I215" t="n">
        <v>45</v>
      </c>
      <c r="J215" t="n">
        <v>85</v>
      </c>
      <c r="K215" t="n">
        <v>75</v>
      </c>
      <c r="L215" t="b">
        <v>0</v>
      </c>
      <c r="M215" t="b">
        <v>0</v>
      </c>
      <c r="N215" t="inlineStr">
        <is>
          <t>AVOID</t>
        </is>
      </c>
    </row>
    <row r="216">
      <c r="A216" t="n">
        <v>215</v>
      </c>
      <c r="B216" t="inlineStr">
        <is>
          <t>FITB</t>
        </is>
      </c>
      <c r="C216" t="inlineStr">
        <is>
          <t>2026-07-30</t>
        </is>
      </c>
      <c r="D216" t="n">
        <v>56.78</v>
      </c>
      <c r="E216" t="n">
        <v>48.24</v>
      </c>
      <c r="F216" t="n">
        <v>0.63</v>
      </c>
      <c r="G216" t="n">
        <v>12.65</v>
      </c>
      <c r="H216" t="n">
        <v>-4.36</v>
      </c>
      <c r="I216" t="n">
        <v>45</v>
      </c>
      <c r="J216" t="n">
        <v>85</v>
      </c>
      <c r="K216" t="n">
        <v>75</v>
      </c>
      <c r="L216" t="b">
        <v>0</v>
      </c>
      <c r="M216" t="b">
        <v>0</v>
      </c>
      <c r="N216" t="inlineStr">
        <is>
          <t>AVOID</t>
        </is>
      </c>
    </row>
    <row r="217">
      <c r="A217" t="n">
        <v>216</v>
      </c>
      <c r="B217" t="inlineStr">
        <is>
          <t>FDUS</t>
        </is>
      </c>
      <c r="C217" t="inlineStr">
        <is>
          <t>2026-07-30</t>
        </is>
      </c>
      <c r="D217" t="n">
        <v>19.94</v>
      </c>
      <c r="E217" t="n">
        <v>46.03</v>
      </c>
      <c r="F217" t="n">
        <v>0.24</v>
      </c>
      <c r="G217" t="n">
        <v>8.720000000000001</v>
      </c>
      <c r="H217" t="n">
        <v>-3.59</v>
      </c>
      <c r="I217" t="n">
        <v>55</v>
      </c>
      <c r="J217" t="n">
        <v>85</v>
      </c>
      <c r="K217" t="n">
        <v>75</v>
      </c>
      <c r="L217" t="b">
        <v>0</v>
      </c>
      <c r="M217" t="b">
        <v>0</v>
      </c>
      <c r="N217" t="inlineStr">
        <is>
          <t>AVOID</t>
        </is>
      </c>
    </row>
    <row r="218">
      <c r="A218" t="n">
        <v>217</v>
      </c>
      <c r="B218" t="inlineStr">
        <is>
          <t>RPAY</t>
        </is>
      </c>
      <c r="C218" t="inlineStr">
        <is>
          <t>2026-07-30</t>
        </is>
      </c>
      <c r="D218" t="n">
        <v>3.97</v>
      </c>
      <c r="E218" t="n">
        <v>46.81</v>
      </c>
      <c r="F218" t="n">
        <v>1.65</v>
      </c>
      <c r="G218" t="n">
        <v>4.88</v>
      </c>
      <c r="H218" t="n">
        <v>-33.31</v>
      </c>
      <c r="I218" t="n">
        <v>55</v>
      </c>
      <c r="J218" t="n">
        <v>100</v>
      </c>
      <c r="K218" t="n">
        <v>75</v>
      </c>
      <c r="L218" t="b">
        <v>0</v>
      </c>
      <c r="M218" t="b">
        <v>0</v>
      </c>
      <c r="N218" t="inlineStr">
        <is>
          <t>AVOID</t>
        </is>
      </c>
    </row>
    <row r="219">
      <c r="A219" t="n">
        <v>218</v>
      </c>
      <c r="B219" t="inlineStr">
        <is>
          <t>RIOT</t>
        </is>
      </c>
      <c r="C219" t="inlineStr">
        <is>
          <t>2026-07-30</t>
        </is>
      </c>
      <c r="D219" t="n">
        <v>22.61</v>
      </c>
      <c r="E219" t="n">
        <v>54.51</v>
      </c>
      <c r="F219" t="n">
        <v>1</v>
      </c>
      <c r="G219" t="n">
        <v>31.18</v>
      </c>
      <c r="H219" t="n">
        <v>-21.17</v>
      </c>
      <c r="I219" t="n">
        <v>40</v>
      </c>
      <c r="J219" t="n">
        <v>65</v>
      </c>
      <c r="K219" t="n">
        <v>70</v>
      </c>
      <c r="L219" t="b">
        <v>0</v>
      </c>
      <c r="M219" t="b">
        <v>0</v>
      </c>
      <c r="N219" t="inlineStr">
        <is>
          <t>AVOID</t>
        </is>
      </c>
    </row>
    <row r="220">
      <c r="A220" t="n">
        <v>219</v>
      </c>
      <c r="B220" t="inlineStr">
        <is>
          <t>JACK</t>
        </is>
      </c>
      <c r="C220" t="inlineStr">
        <is>
          <t>2026-07-30</t>
        </is>
      </c>
      <c r="D220" t="n">
        <v>16.28</v>
      </c>
      <c r="E220" t="n">
        <v>60.07</v>
      </c>
      <c r="F220" t="n">
        <v>0.46</v>
      </c>
      <c r="G220" t="n">
        <v>29.25</v>
      </c>
      <c r="H220" t="n">
        <v>-30.76</v>
      </c>
      <c r="I220" t="n">
        <v>50</v>
      </c>
      <c r="J220" t="n">
        <v>70</v>
      </c>
      <c r="K220" t="n">
        <v>70</v>
      </c>
      <c r="L220" t="b">
        <v>0</v>
      </c>
      <c r="M220" t="b">
        <v>0</v>
      </c>
      <c r="N220" t="inlineStr">
        <is>
          <t>AVOID</t>
        </is>
      </c>
    </row>
    <row r="221">
      <c r="A221" t="n">
        <v>220</v>
      </c>
      <c r="B221" t="inlineStr">
        <is>
          <t>CNMD</t>
        </is>
      </c>
      <c r="C221" t="inlineStr">
        <is>
          <t>2026-07-30</t>
        </is>
      </c>
      <c r="D221" t="n">
        <v>47.35</v>
      </c>
      <c r="E221" t="n">
        <v>71.64</v>
      </c>
      <c r="F221" t="n">
        <v>0.72</v>
      </c>
      <c r="G221" t="n">
        <v>29.16</v>
      </c>
      <c r="H221" t="n">
        <v>-14.84</v>
      </c>
      <c r="I221" t="n">
        <v>50</v>
      </c>
      <c r="J221" t="n">
        <v>45</v>
      </c>
      <c r="K221" t="n">
        <v>70</v>
      </c>
      <c r="L221" t="b">
        <v>0</v>
      </c>
      <c r="M221" t="b">
        <v>0</v>
      </c>
      <c r="N221" t="inlineStr">
        <is>
          <t>AVOID</t>
        </is>
      </c>
    </row>
    <row r="222">
      <c r="A222" t="n">
        <v>221</v>
      </c>
      <c r="B222" t="inlineStr">
        <is>
          <t>PCTY</t>
        </is>
      </c>
      <c r="C222" t="inlineStr">
        <is>
          <t>2026-07-30</t>
        </is>
      </c>
      <c r="D222" t="n">
        <v>135.15</v>
      </c>
      <c r="E222" t="n">
        <v>65.44</v>
      </c>
      <c r="F222" t="n">
        <v>0.64</v>
      </c>
      <c r="G222" t="n">
        <v>28.12</v>
      </c>
      <c r="H222" t="n">
        <v>-27.66</v>
      </c>
      <c r="I222" t="n">
        <v>50</v>
      </c>
      <c r="J222" t="n">
        <v>45</v>
      </c>
      <c r="K222" t="n">
        <v>70</v>
      </c>
      <c r="L222" t="b">
        <v>0</v>
      </c>
      <c r="M222" t="b">
        <v>0</v>
      </c>
      <c r="N222" t="inlineStr">
        <is>
          <t>AVOID</t>
        </is>
      </c>
    </row>
    <row r="223">
      <c r="A223" t="n">
        <v>222</v>
      </c>
      <c r="B223" t="inlineStr">
        <is>
          <t>CERT</t>
        </is>
      </c>
      <c r="C223" t="inlineStr">
        <is>
          <t>2026-07-30</t>
        </is>
      </c>
      <c r="D223" t="n">
        <v>7.81</v>
      </c>
      <c r="E223" t="n">
        <v>69.12</v>
      </c>
      <c r="F223" t="n">
        <v>0.9399999999999999</v>
      </c>
      <c r="G223" t="n">
        <v>27.41</v>
      </c>
      <c r="H223" t="n">
        <v>-42.57</v>
      </c>
      <c r="I223" t="n">
        <v>50</v>
      </c>
      <c r="J223" t="n">
        <v>45</v>
      </c>
      <c r="K223" t="n">
        <v>70</v>
      </c>
      <c r="L223" t="b">
        <v>0</v>
      </c>
      <c r="M223" t="b">
        <v>0</v>
      </c>
      <c r="N223" t="inlineStr">
        <is>
          <t>AVOID</t>
        </is>
      </c>
    </row>
    <row r="224">
      <c r="A224" t="n">
        <v>223</v>
      </c>
      <c r="B224" t="inlineStr">
        <is>
          <t>MMSI</t>
        </is>
      </c>
      <c r="C224" t="inlineStr">
        <is>
          <t>2026-07-30</t>
        </is>
      </c>
      <c r="D224" t="n">
        <v>82.65000000000001</v>
      </c>
      <c r="E224" t="n">
        <v>71.63</v>
      </c>
      <c r="F224" t="n">
        <v>1.13</v>
      </c>
      <c r="G224" t="n">
        <v>21.22</v>
      </c>
      <c r="H224" t="n">
        <v>-11.3</v>
      </c>
      <c r="I224" t="n">
        <v>50</v>
      </c>
      <c r="J224" t="n">
        <v>60</v>
      </c>
      <c r="K224" t="n">
        <v>70</v>
      </c>
      <c r="L224" t="b">
        <v>0</v>
      </c>
      <c r="M224" t="b">
        <v>0</v>
      </c>
      <c r="N224" t="inlineStr">
        <is>
          <t>AVOID</t>
        </is>
      </c>
    </row>
    <row r="225">
      <c r="A225" t="n">
        <v>224</v>
      </c>
      <c r="B225" t="inlineStr">
        <is>
          <t>DGII</t>
        </is>
      </c>
      <c r="C225" t="inlineStr">
        <is>
          <t>2026-07-30</t>
        </is>
      </c>
      <c r="D225" t="n">
        <v>67.70999999999999</v>
      </c>
      <c r="E225" t="n">
        <v>50.06</v>
      </c>
      <c r="F225" t="n">
        <v>0.49</v>
      </c>
      <c r="G225" t="n">
        <v>20.82</v>
      </c>
      <c r="H225" t="n">
        <v>-9.66</v>
      </c>
      <c r="I225" t="n">
        <v>40</v>
      </c>
      <c r="J225" t="n">
        <v>65</v>
      </c>
      <c r="K225" t="n">
        <v>70</v>
      </c>
      <c r="L225" t="b">
        <v>0</v>
      </c>
      <c r="M225" t="b">
        <v>0</v>
      </c>
      <c r="N225" t="inlineStr">
        <is>
          <t>AVOID</t>
        </is>
      </c>
    </row>
    <row r="226">
      <c r="A226" t="n">
        <v>225</v>
      </c>
      <c r="B226" t="inlineStr">
        <is>
          <t>ARQT</t>
        </is>
      </c>
      <c r="C226" t="inlineStr">
        <is>
          <t>2026-07-30</t>
        </is>
      </c>
      <c r="D226" t="n">
        <v>27.87</v>
      </c>
      <c r="E226" t="n">
        <v>50.93</v>
      </c>
      <c r="F226" t="n">
        <v>0.22</v>
      </c>
      <c r="G226" t="n">
        <v>20.03</v>
      </c>
      <c r="H226" t="n">
        <v>-10.67</v>
      </c>
      <c r="I226" t="n">
        <v>50</v>
      </c>
      <c r="J226" t="n">
        <v>85</v>
      </c>
      <c r="K226" t="n">
        <v>70</v>
      </c>
      <c r="L226" t="b">
        <v>0</v>
      </c>
      <c r="M226" t="b">
        <v>0</v>
      </c>
      <c r="N226" t="inlineStr">
        <is>
          <t>AVOID</t>
        </is>
      </c>
    </row>
    <row r="227">
      <c r="A227" t="n">
        <v>226</v>
      </c>
      <c r="B227" t="inlineStr">
        <is>
          <t>CTAS</t>
        </is>
      </c>
      <c r="C227" t="inlineStr">
        <is>
          <t>2026-07-30</t>
        </is>
      </c>
      <c r="D227" t="n">
        <v>207.09</v>
      </c>
      <c r="E227" t="n">
        <v>73.66</v>
      </c>
      <c r="F227" t="n">
        <v>0.66</v>
      </c>
      <c r="G227" t="n">
        <v>18.86</v>
      </c>
      <c r="H227" t="n">
        <v>-7.61</v>
      </c>
      <c r="I227" t="n">
        <v>50</v>
      </c>
      <c r="J227" t="n">
        <v>45</v>
      </c>
      <c r="K227" t="n">
        <v>70</v>
      </c>
      <c r="L227" t="b">
        <v>0</v>
      </c>
      <c r="M227" t="b">
        <v>0</v>
      </c>
      <c r="N227" t="inlineStr">
        <is>
          <t>AVOID</t>
        </is>
      </c>
    </row>
    <row r="228">
      <c r="A228" t="n">
        <v>227</v>
      </c>
      <c r="B228" t="inlineStr">
        <is>
          <t>PENN</t>
        </is>
      </c>
      <c r="C228" t="inlineStr">
        <is>
          <t>2026-07-30</t>
        </is>
      </c>
      <c r="D228" t="n">
        <v>20.74</v>
      </c>
      <c r="E228" t="n">
        <v>53.46</v>
      </c>
      <c r="F228" t="n">
        <v>0.61</v>
      </c>
      <c r="G228" t="n">
        <v>18.76</v>
      </c>
      <c r="H228" t="n">
        <v>-6.01</v>
      </c>
      <c r="I228" t="n">
        <v>50</v>
      </c>
      <c r="J228" t="n">
        <v>85</v>
      </c>
      <c r="K228" t="n">
        <v>70</v>
      </c>
      <c r="L228" t="b">
        <v>0</v>
      </c>
      <c r="M228" t="b">
        <v>0</v>
      </c>
      <c r="N228" t="inlineStr">
        <is>
          <t>AVOID</t>
        </is>
      </c>
    </row>
    <row r="229">
      <c r="A229" t="n">
        <v>228</v>
      </c>
      <c r="B229" t="inlineStr">
        <is>
          <t>VSAT</t>
        </is>
      </c>
      <c r="C229" t="inlineStr">
        <is>
          <t>2026-07-30</t>
        </is>
      </c>
      <c r="D229" t="n">
        <v>77.68000000000001</v>
      </c>
      <c r="E229" t="n">
        <v>56.01</v>
      </c>
      <c r="F229" t="n">
        <v>0.71</v>
      </c>
      <c r="G229" t="n">
        <v>17.85</v>
      </c>
      <c r="H229" t="n">
        <v>-13.51</v>
      </c>
      <c r="I229" t="n">
        <v>60</v>
      </c>
      <c r="J229" t="n">
        <v>70</v>
      </c>
      <c r="K229" t="n">
        <v>70</v>
      </c>
      <c r="L229" t="b">
        <v>0</v>
      </c>
      <c r="M229" t="b">
        <v>0</v>
      </c>
      <c r="N229" t="inlineStr">
        <is>
          <t>AVOID</t>
        </is>
      </c>
    </row>
    <row r="230">
      <c r="A230" t="n">
        <v>229</v>
      </c>
      <c r="B230" t="inlineStr">
        <is>
          <t>ACAD</t>
        </is>
      </c>
      <c r="C230" t="inlineStr">
        <is>
          <t>2026-07-30</t>
        </is>
      </c>
      <c r="D230" t="n">
        <v>26.44</v>
      </c>
      <c r="E230" t="n">
        <v>52.42</v>
      </c>
      <c r="F230" t="n">
        <v>0.57</v>
      </c>
      <c r="G230" t="n">
        <v>17.77</v>
      </c>
      <c r="H230" t="n">
        <v>-5.77</v>
      </c>
      <c r="I230" t="n">
        <v>50</v>
      </c>
      <c r="J230" t="n">
        <v>85</v>
      </c>
      <c r="K230" t="n">
        <v>70</v>
      </c>
      <c r="L230" t="b">
        <v>0</v>
      </c>
      <c r="M230" t="b">
        <v>0</v>
      </c>
      <c r="N230" t="inlineStr">
        <is>
          <t>AVOID</t>
        </is>
      </c>
    </row>
    <row r="231">
      <c r="A231" t="n">
        <v>230</v>
      </c>
      <c r="B231" t="inlineStr">
        <is>
          <t>PTON</t>
        </is>
      </c>
      <c r="C231" t="inlineStr">
        <is>
          <t>2026-07-30</t>
        </is>
      </c>
      <c r="D231" t="n">
        <v>6.39</v>
      </c>
      <c r="E231" t="n">
        <v>61.51</v>
      </c>
      <c r="F231" t="n">
        <v>0.36</v>
      </c>
      <c r="G231" t="n">
        <v>17.34</v>
      </c>
      <c r="H231" t="n">
        <v>-28.94</v>
      </c>
      <c r="I231" t="n">
        <v>60</v>
      </c>
      <c r="J231" t="n">
        <v>70</v>
      </c>
      <c r="K231" t="n">
        <v>70</v>
      </c>
      <c r="L231" t="b">
        <v>0</v>
      </c>
      <c r="M231" t="b">
        <v>0</v>
      </c>
      <c r="N231" t="inlineStr">
        <is>
          <t>AVOID</t>
        </is>
      </c>
    </row>
    <row r="232">
      <c r="A232" t="n">
        <v>231</v>
      </c>
      <c r="B232" t="inlineStr">
        <is>
          <t>XRAY</t>
        </is>
      </c>
      <c r="C232" t="inlineStr">
        <is>
          <t>2026-07-30</t>
        </is>
      </c>
      <c r="D232" t="n">
        <v>13.73</v>
      </c>
      <c r="E232" t="n">
        <v>63.16</v>
      </c>
      <c r="F232" t="n">
        <v>0.48</v>
      </c>
      <c r="G232" t="n">
        <v>16.89</v>
      </c>
      <c r="H232" t="n">
        <v>-8.75</v>
      </c>
      <c r="I232" t="n">
        <v>50</v>
      </c>
      <c r="J232" t="n">
        <v>70</v>
      </c>
      <c r="K232" t="n">
        <v>70</v>
      </c>
      <c r="L232" t="b">
        <v>0</v>
      </c>
      <c r="M232" t="b">
        <v>0</v>
      </c>
      <c r="N232" t="inlineStr">
        <is>
          <t>AVOID</t>
        </is>
      </c>
    </row>
    <row r="233">
      <c r="A233" t="n">
        <v>232</v>
      </c>
      <c r="B233" t="inlineStr">
        <is>
          <t>MORN</t>
        </is>
      </c>
      <c r="C233" t="inlineStr">
        <is>
          <t>2026-07-30</t>
        </is>
      </c>
      <c r="D233" t="n">
        <v>194.13</v>
      </c>
      <c r="E233" t="n">
        <v>72.98</v>
      </c>
      <c r="F233" t="n">
        <v>1.32</v>
      </c>
      <c r="G233" t="n">
        <v>15.42</v>
      </c>
      <c r="H233" t="n">
        <v>-30.99</v>
      </c>
      <c r="I233" t="n">
        <v>50</v>
      </c>
      <c r="J233" t="n">
        <v>60</v>
      </c>
      <c r="K233" t="n">
        <v>70</v>
      </c>
      <c r="L233" t="b">
        <v>0</v>
      </c>
      <c r="M233" t="b">
        <v>0</v>
      </c>
      <c r="N233" t="inlineStr">
        <is>
          <t>AVOID</t>
        </is>
      </c>
    </row>
    <row r="234">
      <c r="A234" t="n">
        <v>233</v>
      </c>
      <c r="B234" t="inlineStr">
        <is>
          <t>CSX</t>
        </is>
      </c>
      <c r="C234" t="inlineStr">
        <is>
          <t>2026-07-30</t>
        </is>
      </c>
      <c r="D234" t="n">
        <v>50.11</v>
      </c>
      <c r="E234" t="n">
        <v>53.53</v>
      </c>
      <c r="F234" t="n">
        <v>0.51</v>
      </c>
      <c r="G234" t="n">
        <v>10.64</v>
      </c>
      <c r="H234" t="n">
        <v>-5.86</v>
      </c>
      <c r="I234" t="n">
        <v>50</v>
      </c>
      <c r="J234" t="n">
        <v>85</v>
      </c>
      <c r="K234" t="n">
        <v>70</v>
      </c>
      <c r="L234" t="b">
        <v>0</v>
      </c>
      <c r="M234" t="b">
        <v>0</v>
      </c>
      <c r="N234" t="inlineStr">
        <is>
          <t>AVOID</t>
        </is>
      </c>
    </row>
    <row r="235">
      <c r="A235" t="n">
        <v>234</v>
      </c>
      <c r="B235" t="inlineStr">
        <is>
          <t>LFUS</t>
        </is>
      </c>
      <c r="C235" t="inlineStr">
        <is>
          <t>2026-07-30</t>
        </is>
      </c>
      <c r="D235" t="n">
        <v>444.85</v>
      </c>
      <c r="E235" t="n">
        <v>61.35</v>
      </c>
      <c r="F235" t="n">
        <v>0.77</v>
      </c>
      <c r="G235" t="n">
        <v>10.25</v>
      </c>
      <c r="H235" t="n">
        <v>-9.050000000000001</v>
      </c>
      <c r="I235" t="n">
        <v>50</v>
      </c>
      <c r="J235" t="n">
        <v>70</v>
      </c>
      <c r="K235" t="n">
        <v>70</v>
      </c>
      <c r="L235" t="b">
        <v>0</v>
      </c>
      <c r="M235" t="b">
        <v>0</v>
      </c>
      <c r="N235" t="inlineStr">
        <is>
          <t>AVOID</t>
        </is>
      </c>
    </row>
    <row r="236">
      <c r="A236" t="n">
        <v>235</v>
      </c>
      <c r="B236" t="inlineStr">
        <is>
          <t>FFIN</t>
        </is>
      </c>
      <c r="C236" t="inlineStr">
        <is>
          <t>2026-07-30</t>
        </is>
      </c>
      <c r="D236" t="n">
        <v>35.04</v>
      </c>
      <c r="E236" t="n">
        <v>54.35</v>
      </c>
      <c r="F236" t="n">
        <v>0.42</v>
      </c>
      <c r="G236" t="n">
        <v>9.31</v>
      </c>
      <c r="H236" t="n">
        <v>-5.46</v>
      </c>
      <c r="I236" t="n">
        <v>60</v>
      </c>
      <c r="J236" t="n">
        <v>85</v>
      </c>
      <c r="K236" t="n">
        <v>70</v>
      </c>
      <c r="L236" t="b">
        <v>0</v>
      </c>
      <c r="M236" t="b">
        <v>0</v>
      </c>
      <c r="N236" t="inlineStr">
        <is>
          <t>AVOID</t>
        </is>
      </c>
    </row>
    <row r="237">
      <c r="A237" t="n">
        <v>236</v>
      </c>
      <c r="B237" t="inlineStr">
        <is>
          <t>HFWA</t>
        </is>
      </c>
      <c r="C237" t="inlineStr">
        <is>
          <t>2026-07-30</t>
        </is>
      </c>
      <c r="D237" t="n">
        <v>29.71</v>
      </c>
      <c r="E237" t="n">
        <v>53.41</v>
      </c>
      <c r="F237" t="n">
        <v>0.59</v>
      </c>
      <c r="G237" t="n">
        <v>8.91</v>
      </c>
      <c r="H237" t="n">
        <v>-4.93</v>
      </c>
      <c r="I237" t="n">
        <v>50</v>
      </c>
      <c r="J237" t="n">
        <v>85</v>
      </c>
      <c r="K237" t="n">
        <v>70</v>
      </c>
      <c r="L237" t="b">
        <v>0</v>
      </c>
      <c r="M237" t="b">
        <v>0</v>
      </c>
      <c r="N237" t="inlineStr">
        <is>
          <t>AVOID</t>
        </is>
      </c>
    </row>
    <row r="238">
      <c r="A238" t="n">
        <v>237</v>
      </c>
      <c r="B238" t="inlineStr">
        <is>
          <t>PLTK</t>
        </is>
      </c>
      <c r="C238" t="inlineStr">
        <is>
          <t>2026-07-30</t>
        </is>
      </c>
      <c r="D238" t="n">
        <v>3.97</v>
      </c>
      <c r="E238" t="n">
        <v>53.08</v>
      </c>
      <c r="F238" t="n">
        <v>0.53</v>
      </c>
      <c r="G238" t="n">
        <v>8.76</v>
      </c>
      <c r="H238" t="n">
        <v>-6.75</v>
      </c>
      <c r="I238" t="n">
        <v>60</v>
      </c>
      <c r="J238" t="n">
        <v>85</v>
      </c>
      <c r="K238" t="n">
        <v>70</v>
      </c>
      <c r="L238" t="b">
        <v>0</v>
      </c>
      <c r="M238" t="b">
        <v>0</v>
      </c>
      <c r="N238" t="inlineStr">
        <is>
          <t>AVOID</t>
        </is>
      </c>
    </row>
    <row r="239">
      <c r="A239" t="n">
        <v>238</v>
      </c>
      <c r="B239" t="inlineStr">
        <is>
          <t>SFM</t>
        </is>
      </c>
      <c r="C239" t="inlineStr">
        <is>
          <t>2026-07-30</t>
        </is>
      </c>
      <c r="D239" t="n">
        <v>88.84999999999999</v>
      </c>
      <c r="E239" t="n">
        <v>64.34</v>
      </c>
      <c r="F239" t="n">
        <v>1.66</v>
      </c>
      <c r="G239" t="n">
        <v>8.550000000000001</v>
      </c>
      <c r="H239" t="n">
        <v>-43.79</v>
      </c>
      <c r="I239" t="n">
        <v>50</v>
      </c>
      <c r="J239" t="n">
        <v>85</v>
      </c>
      <c r="K239" t="n">
        <v>70</v>
      </c>
      <c r="L239" t="b">
        <v>0</v>
      </c>
      <c r="M239" t="b">
        <v>0</v>
      </c>
      <c r="N239" t="inlineStr">
        <is>
          <t>AVOID</t>
        </is>
      </c>
    </row>
    <row r="240">
      <c r="A240" t="n">
        <v>239</v>
      </c>
      <c r="B240" t="inlineStr">
        <is>
          <t>NWSA</t>
        </is>
      </c>
      <c r="C240" t="inlineStr">
        <is>
          <t>2026-07-30</t>
        </is>
      </c>
      <c r="D240" t="n">
        <v>28.1</v>
      </c>
      <c r="E240" t="n">
        <v>55.14</v>
      </c>
      <c r="F240" t="n">
        <v>0.43</v>
      </c>
      <c r="G240" t="n">
        <v>6.78</v>
      </c>
      <c r="H240" t="n">
        <v>-9.050000000000001</v>
      </c>
      <c r="I240" t="n">
        <v>60</v>
      </c>
      <c r="J240" t="n">
        <v>85</v>
      </c>
      <c r="K240" t="n">
        <v>70</v>
      </c>
      <c r="L240" t="b">
        <v>0</v>
      </c>
      <c r="M240" t="b">
        <v>0</v>
      </c>
      <c r="N240" t="inlineStr">
        <is>
          <t>AVOID</t>
        </is>
      </c>
    </row>
    <row r="241">
      <c r="A241" t="n">
        <v>240</v>
      </c>
      <c r="B241" t="inlineStr">
        <is>
          <t>CTRE</t>
        </is>
      </c>
      <c r="C241" t="inlineStr">
        <is>
          <t>2026-07-30</t>
        </is>
      </c>
      <c r="D241" t="n">
        <v>41.58</v>
      </c>
      <c r="E241" t="n">
        <v>58.06</v>
      </c>
      <c r="F241" t="n">
        <v>0.38</v>
      </c>
      <c r="G241" t="n">
        <v>6.42</v>
      </c>
      <c r="H241" t="n">
        <v>-4.19</v>
      </c>
      <c r="I241" t="n">
        <v>50</v>
      </c>
      <c r="J241" t="n">
        <v>85</v>
      </c>
      <c r="K241" t="n">
        <v>70</v>
      </c>
      <c r="L241" t="b">
        <v>0</v>
      </c>
      <c r="M241" t="b">
        <v>0</v>
      </c>
      <c r="N241" t="inlineStr">
        <is>
          <t>AVOID</t>
        </is>
      </c>
    </row>
    <row r="242">
      <c r="A242" t="n">
        <v>241</v>
      </c>
      <c r="B242" t="inlineStr">
        <is>
          <t>CASY</t>
        </is>
      </c>
      <c r="C242" t="inlineStr">
        <is>
          <t>2026-07-30</t>
        </is>
      </c>
      <c r="D242" t="n">
        <v>864.72</v>
      </c>
      <c r="E242" t="n">
        <v>60.48</v>
      </c>
      <c r="F242" t="n">
        <v>0.36</v>
      </c>
      <c r="G242" t="n">
        <v>5.25</v>
      </c>
      <c r="H242" t="n">
        <v>-5.63</v>
      </c>
      <c r="I242" t="n">
        <v>60</v>
      </c>
      <c r="J242" t="n">
        <v>85</v>
      </c>
      <c r="K242" t="n">
        <v>70</v>
      </c>
      <c r="L242" t="b">
        <v>0</v>
      </c>
      <c r="M242" t="b">
        <v>0</v>
      </c>
      <c r="N242" t="inlineStr">
        <is>
          <t>AVOID</t>
        </is>
      </c>
    </row>
    <row r="243">
      <c r="A243" t="n">
        <v>242</v>
      </c>
      <c r="B243" t="inlineStr">
        <is>
          <t>FAST</t>
        </is>
      </c>
      <c r="C243" t="inlineStr">
        <is>
          <t>2026-07-30</t>
        </is>
      </c>
      <c r="D243" t="n">
        <v>46.56</v>
      </c>
      <c r="E243" t="n">
        <v>51.56</v>
      </c>
      <c r="F243" t="n">
        <v>0.51</v>
      </c>
      <c r="G243" t="n">
        <v>4.21</v>
      </c>
      <c r="H243" t="n">
        <v>-5.58</v>
      </c>
      <c r="I243" t="n">
        <v>60</v>
      </c>
      <c r="J243" t="n">
        <v>85</v>
      </c>
      <c r="K243" t="n">
        <v>70</v>
      </c>
      <c r="L243" t="b">
        <v>0</v>
      </c>
      <c r="M243" t="b">
        <v>0</v>
      </c>
      <c r="N243" t="inlineStr">
        <is>
          <t>AVOID</t>
        </is>
      </c>
    </row>
    <row r="244">
      <c r="A244" t="n">
        <v>243</v>
      </c>
      <c r="B244" t="inlineStr">
        <is>
          <t>MKTX</t>
        </is>
      </c>
      <c r="C244" t="inlineStr">
        <is>
          <t>2026-07-30</t>
        </is>
      </c>
      <c r="D244" t="n">
        <v>162.87</v>
      </c>
      <c r="E244" t="n">
        <v>91.56</v>
      </c>
      <c r="F244" t="n">
        <v>9.02</v>
      </c>
      <c r="G244" t="n">
        <v>4.19</v>
      </c>
      <c r="H244" t="n">
        <v>-21.04</v>
      </c>
      <c r="I244" t="n">
        <v>40</v>
      </c>
      <c r="J244" t="n">
        <v>60</v>
      </c>
      <c r="K244" t="n">
        <v>70</v>
      </c>
      <c r="L244" t="b">
        <v>0</v>
      </c>
      <c r="M244" t="b">
        <v>0</v>
      </c>
      <c r="N244" t="inlineStr">
        <is>
          <t>AVOID</t>
        </is>
      </c>
    </row>
    <row r="245">
      <c r="A245" t="n">
        <v>244</v>
      </c>
      <c r="B245" t="inlineStr">
        <is>
          <t>SBRA</t>
        </is>
      </c>
      <c r="C245" t="inlineStr">
        <is>
          <t>2026-07-30</t>
        </is>
      </c>
      <c r="D245" t="n">
        <v>21.22</v>
      </c>
      <c r="E245" t="n">
        <v>66.39</v>
      </c>
      <c r="F245" t="n">
        <v>0.54</v>
      </c>
      <c r="G245" t="n">
        <v>4.16</v>
      </c>
      <c r="H245" t="n">
        <v>-5.25</v>
      </c>
      <c r="I245" t="n">
        <v>60</v>
      </c>
      <c r="J245" t="n">
        <v>60</v>
      </c>
      <c r="K245" t="n">
        <v>70</v>
      </c>
      <c r="L245" t="b">
        <v>0</v>
      </c>
      <c r="M245" t="b">
        <v>0</v>
      </c>
      <c r="N245" t="inlineStr">
        <is>
          <t>AVOID</t>
        </is>
      </c>
    </row>
    <row r="246">
      <c r="A246" t="n">
        <v>245</v>
      </c>
      <c r="B246" t="inlineStr">
        <is>
          <t>REG</t>
        </is>
      </c>
      <c r="C246" t="inlineStr">
        <is>
          <t>2026-07-30</t>
        </is>
      </c>
      <c r="D246" t="n">
        <v>80.23999999999999</v>
      </c>
      <c r="E246" t="n">
        <v>53.43</v>
      </c>
      <c r="F246" t="n">
        <v>0.7</v>
      </c>
      <c r="G246" t="n">
        <v>4.04</v>
      </c>
      <c r="H246" t="n">
        <v>-2.95</v>
      </c>
      <c r="I246" t="n">
        <v>50</v>
      </c>
      <c r="J246" t="n">
        <v>85</v>
      </c>
      <c r="K246" t="n">
        <v>70</v>
      </c>
      <c r="L246" t="b">
        <v>0</v>
      </c>
      <c r="M246" t="b">
        <v>0</v>
      </c>
      <c r="N246" t="inlineStr">
        <is>
          <t>AVOID</t>
        </is>
      </c>
    </row>
    <row r="247">
      <c r="A247" t="n">
        <v>246</v>
      </c>
      <c r="B247" t="inlineStr">
        <is>
          <t>NWS</t>
        </is>
      </c>
      <c r="C247" t="inlineStr">
        <is>
          <t>2026-07-30</t>
        </is>
      </c>
      <c r="D247" t="n">
        <v>31.68</v>
      </c>
      <c r="E247" t="n">
        <v>54.28</v>
      </c>
      <c r="F247" t="n">
        <v>0.49</v>
      </c>
      <c r="G247" t="n">
        <v>3.94</v>
      </c>
      <c r="H247" t="n">
        <v>-9.31</v>
      </c>
      <c r="I247" t="n">
        <v>60</v>
      </c>
      <c r="J247" t="n">
        <v>85</v>
      </c>
      <c r="K247" t="n">
        <v>70</v>
      </c>
      <c r="L247" t="b">
        <v>0</v>
      </c>
      <c r="M247" t="b">
        <v>0</v>
      </c>
      <c r="N247" t="inlineStr">
        <is>
          <t>AVOID</t>
        </is>
      </c>
    </row>
    <row r="248">
      <c r="A248" t="n">
        <v>247</v>
      </c>
      <c r="B248" t="inlineStr">
        <is>
          <t>REGN</t>
        </is>
      </c>
      <c r="C248" t="inlineStr">
        <is>
          <t>2026-07-30</t>
        </is>
      </c>
      <c r="D248" t="n">
        <v>733.65</v>
      </c>
      <c r="E248" t="n">
        <v>73.43000000000001</v>
      </c>
      <c r="F248" t="n">
        <v>1.21</v>
      </c>
      <c r="G248" t="n">
        <v>3.92</v>
      </c>
      <c r="H248" t="n">
        <v>-9.44</v>
      </c>
      <c r="I248" t="n">
        <v>50</v>
      </c>
      <c r="J248" t="n">
        <v>60</v>
      </c>
      <c r="K248" t="n">
        <v>70</v>
      </c>
      <c r="L248" t="b">
        <v>0</v>
      </c>
      <c r="M248" t="b">
        <v>0</v>
      </c>
      <c r="N248" t="inlineStr">
        <is>
          <t>AVOID</t>
        </is>
      </c>
    </row>
    <row r="249">
      <c r="A249" t="n">
        <v>248</v>
      </c>
      <c r="B249" t="inlineStr">
        <is>
          <t>MDLZ</t>
        </is>
      </c>
      <c r="C249" t="inlineStr">
        <is>
          <t>2026-07-30</t>
        </is>
      </c>
      <c r="D249" t="n">
        <v>63.26</v>
      </c>
      <c r="E249" t="n">
        <v>64.86</v>
      </c>
      <c r="F249" t="n">
        <v>0.58</v>
      </c>
      <c r="G249" t="n">
        <v>3.83</v>
      </c>
      <c r="H249" t="n">
        <v>-2.66</v>
      </c>
      <c r="I249" t="n">
        <v>50</v>
      </c>
      <c r="J249" t="n">
        <v>70</v>
      </c>
      <c r="K249" t="n">
        <v>70</v>
      </c>
      <c r="L249" t="b">
        <v>0</v>
      </c>
      <c r="M249" t="b">
        <v>0</v>
      </c>
      <c r="N249" t="inlineStr">
        <is>
          <t>AVOID</t>
        </is>
      </c>
    </row>
    <row r="250">
      <c r="A250" t="n">
        <v>249</v>
      </c>
      <c r="B250" t="inlineStr">
        <is>
          <t>GOOD</t>
        </is>
      </c>
      <c r="C250" t="inlineStr">
        <is>
          <t>2026-07-30</t>
        </is>
      </c>
      <c r="D250" t="n">
        <v>12.47</v>
      </c>
      <c r="E250" t="n">
        <v>51.93</v>
      </c>
      <c r="F250" t="n">
        <v>0.6</v>
      </c>
      <c r="G250" t="n">
        <v>1.32</v>
      </c>
      <c r="H250" t="n">
        <v>-4.57</v>
      </c>
      <c r="I250" t="n">
        <v>50</v>
      </c>
      <c r="J250" t="n">
        <v>85</v>
      </c>
      <c r="K250" t="n">
        <v>70</v>
      </c>
      <c r="L250" t="b">
        <v>0</v>
      </c>
      <c r="M250" t="b">
        <v>0</v>
      </c>
      <c r="N250" t="inlineStr">
        <is>
          <t>AVOID</t>
        </is>
      </c>
    </row>
    <row r="251">
      <c r="A251" t="n">
        <v>250</v>
      </c>
      <c r="B251" t="inlineStr">
        <is>
          <t>STTK</t>
        </is>
      </c>
      <c r="C251" t="inlineStr">
        <is>
          <t>2026-07-30</t>
        </is>
      </c>
      <c r="D251" t="n">
        <v>7.14</v>
      </c>
      <c r="E251" t="n">
        <v>55.76</v>
      </c>
      <c r="F251" t="n">
        <v>0.3</v>
      </c>
      <c r="G251" t="n">
        <v>-0.14</v>
      </c>
      <c r="H251" t="n">
        <v>-9.390000000000001</v>
      </c>
      <c r="I251" t="n">
        <v>60</v>
      </c>
      <c r="J251" t="n">
        <v>85</v>
      </c>
      <c r="K251" t="n">
        <v>70</v>
      </c>
      <c r="L251" t="b">
        <v>0</v>
      </c>
      <c r="M251" t="b">
        <v>0</v>
      </c>
      <c r="N251" t="inlineStr">
        <is>
          <t>AVOID</t>
        </is>
      </c>
    </row>
    <row r="252">
      <c r="A252" t="n">
        <v>251</v>
      </c>
      <c r="B252" t="inlineStr">
        <is>
          <t>KOD</t>
        </is>
      </c>
      <c r="C252" t="inlineStr">
        <is>
          <t>2026-07-30</t>
        </is>
      </c>
      <c r="D252" t="n">
        <v>42.28</v>
      </c>
      <c r="E252" t="n">
        <v>53.12</v>
      </c>
      <c r="F252" t="n">
        <v>0.49</v>
      </c>
      <c r="G252" t="n">
        <v>-2.76</v>
      </c>
      <c r="H252" t="n">
        <v>-8.960000000000001</v>
      </c>
      <c r="I252" t="n">
        <v>60</v>
      </c>
      <c r="J252" t="n">
        <v>70</v>
      </c>
      <c r="K252" t="n">
        <v>70</v>
      </c>
      <c r="L252" t="b">
        <v>0</v>
      </c>
      <c r="M252" t="b">
        <v>0</v>
      </c>
      <c r="N252" t="inlineStr">
        <is>
          <t>AVOID</t>
        </is>
      </c>
    </row>
    <row r="253">
      <c r="A253" t="n">
        <v>252</v>
      </c>
      <c r="B253" t="inlineStr">
        <is>
          <t>RXT</t>
        </is>
      </c>
      <c r="C253" t="inlineStr">
        <is>
          <t>2026-07-30</t>
        </is>
      </c>
      <c r="D253" t="n">
        <v>4.14</v>
      </c>
      <c r="E253" t="n">
        <v>27.31</v>
      </c>
      <c r="F253" t="n">
        <v>0.3</v>
      </c>
      <c r="G253" t="n">
        <v>183.22</v>
      </c>
      <c r="H253" t="n">
        <v>-45.09</v>
      </c>
      <c r="I253" t="n">
        <v>25</v>
      </c>
      <c r="J253" t="n">
        <v>25</v>
      </c>
      <c r="K253" t="n">
        <v>65</v>
      </c>
      <c r="L253" t="b">
        <v>0</v>
      </c>
      <c r="M253" t="b">
        <v>0</v>
      </c>
      <c r="N253" t="inlineStr">
        <is>
          <t>AVOID</t>
        </is>
      </c>
    </row>
    <row r="254">
      <c r="A254" t="n">
        <v>253</v>
      </c>
      <c r="B254" t="inlineStr">
        <is>
          <t>MU</t>
        </is>
      </c>
      <c r="C254" t="inlineStr">
        <is>
          <t>2026-07-30</t>
        </is>
      </c>
      <c r="D254" t="n">
        <v>878.16</v>
      </c>
      <c r="E254" t="n">
        <v>43.49</v>
      </c>
      <c r="F254" t="n">
        <v>1.08</v>
      </c>
      <c r="G254" t="n">
        <v>69.83</v>
      </c>
      <c r="H254" t="n">
        <v>-27.63</v>
      </c>
      <c r="I254" t="n">
        <v>25</v>
      </c>
      <c r="J254" t="n">
        <v>40</v>
      </c>
      <c r="K254" t="n">
        <v>65</v>
      </c>
      <c r="L254" t="b">
        <v>0</v>
      </c>
      <c r="M254" t="b">
        <v>0</v>
      </c>
      <c r="N254" t="inlineStr">
        <is>
          <t>AVOID</t>
        </is>
      </c>
    </row>
    <row r="255">
      <c r="A255" t="n">
        <v>254</v>
      </c>
      <c r="B255" t="inlineStr">
        <is>
          <t>TEAM</t>
        </is>
      </c>
      <c r="C255" t="inlineStr">
        <is>
          <t>2026-07-30</t>
        </is>
      </c>
      <c r="D255" t="n">
        <v>97.86</v>
      </c>
      <c r="E255" t="n">
        <v>56.56</v>
      </c>
      <c r="F255" t="n">
        <v>0.6899999999999999</v>
      </c>
      <c r="G255" t="n">
        <v>42.67</v>
      </c>
      <c r="H255" t="n">
        <v>-50.37</v>
      </c>
      <c r="I255" t="n">
        <v>35</v>
      </c>
      <c r="J255" t="n">
        <v>45</v>
      </c>
      <c r="K255" t="n">
        <v>65</v>
      </c>
      <c r="L255" t="b">
        <v>0</v>
      </c>
      <c r="M255" t="b">
        <v>0</v>
      </c>
      <c r="N255" t="inlineStr">
        <is>
          <t>AVOID</t>
        </is>
      </c>
    </row>
    <row r="256">
      <c r="A256" t="n">
        <v>255</v>
      </c>
      <c r="B256" t="inlineStr">
        <is>
          <t>AMD</t>
        </is>
      </c>
      <c r="C256" t="inlineStr">
        <is>
          <t>2026-07-30</t>
        </is>
      </c>
      <c r="D256" t="n">
        <v>486.99</v>
      </c>
      <c r="E256" t="n">
        <v>39.14</v>
      </c>
      <c r="F256" t="n">
        <v>0.95</v>
      </c>
      <c r="G256" t="n">
        <v>37.38</v>
      </c>
      <c r="H256" t="n">
        <v>-16.17</v>
      </c>
      <c r="I256" t="n">
        <v>35</v>
      </c>
      <c r="J256" t="n">
        <v>25</v>
      </c>
      <c r="K256" t="n">
        <v>65</v>
      </c>
      <c r="L256" t="b">
        <v>0</v>
      </c>
      <c r="M256" t="b">
        <v>0</v>
      </c>
      <c r="N256" t="inlineStr">
        <is>
          <t>AVOID</t>
        </is>
      </c>
    </row>
    <row r="257">
      <c r="A257" t="n">
        <v>256</v>
      </c>
      <c r="B257" t="inlineStr">
        <is>
          <t>ABCL</t>
        </is>
      </c>
      <c r="C257" t="inlineStr">
        <is>
          <t>2026-07-30</t>
        </is>
      </c>
      <c r="D257" t="n">
        <v>5.53</v>
      </c>
      <c r="E257" t="n">
        <v>30.39</v>
      </c>
      <c r="F257" t="n">
        <v>0.53</v>
      </c>
      <c r="G257" t="n">
        <v>33.37</v>
      </c>
      <c r="H257" t="n">
        <v>-31.83</v>
      </c>
      <c r="I257" t="n">
        <v>35</v>
      </c>
      <c r="J257" t="n">
        <v>25</v>
      </c>
      <c r="K257" t="n">
        <v>65</v>
      </c>
      <c r="L257" t="b">
        <v>0</v>
      </c>
      <c r="M257" t="b">
        <v>0</v>
      </c>
      <c r="N257" t="inlineStr">
        <is>
          <t>AVOID</t>
        </is>
      </c>
    </row>
    <row r="258">
      <c r="A258" t="n">
        <v>257</v>
      </c>
      <c r="B258" t="inlineStr">
        <is>
          <t>OSUR</t>
        </is>
      </c>
      <c r="C258" t="inlineStr">
        <is>
          <t>2026-07-30</t>
        </is>
      </c>
      <c r="D258" t="n">
        <v>4.01</v>
      </c>
      <c r="E258" t="n">
        <v>34.72</v>
      </c>
      <c r="F258" t="n">
        <v>0.23</v>
      </c>
      <c r="G258" t="n">
        <v>31.74</v>
      </c>
      <c r="H258" t="n">
        <v>-11</v>
      </c>
      <c r="I258" t="n">
        <v>35</v>
      </c>
      <c r="J258" t="n">
        <v>40</v>
      </c>
      <c r="K258" t="n">
        <v>65</v>
      </c>
      <c r="L258" t="b">
        <v>0</v>
      </c>
      <c r="M258" t="b">
        <v>0</v>
      </c>
      <c r="N258" t="inlineStr">
        <is>
          <t>AVOID</t>
        </is>
      </c>
    </row>
    <row r="259">
      <c r="A259" t="n">
        <v>258</v>
      </c>
      <c r="B259" t="inlineStr">
        <is>
          <t>AAL</t>
        </is>
      </c>
      <c r="C259" t="inlineStr">
        <is>
          <t>2026-07-30</t>
        </is>
      </c>
      <c r="D259" t="n">
        <v>15.32</v>
      </c>
      <c r="E259" t="n">
        <v>38.04</v>
      </c>
      <c r="F259" t="n">
        <v>0.28</v>
      </c>
      <c r="G259" t="n">
        <v>30.87</v>
      </c>
      <c r="H259" t="n">
        <v>-15.56</v>
      </c>
      <c r="I259" t="n">
        <v>35</v>
      </c>
      <c r="J259" t="n">
        <v>40</v>
      </c>
      <c r="K259" t="n">
        <v>65</v>
      </c>
      <c r="L259" t="b">
        <v>0</v>
      </c>
      <c r="M259" t="b">
        <v>0</v>
      </c>
      <c r="N259" t="inlineStr">
        <is>
          <t>AVOID</t>
        </is>
      </c>
    </row>
    <row r="260">
      <c r="A260" t="n">
        <v>259</v>
      </c>
      <c r="B260" t="inlineStr">
        <is>
          <t>MGTX</t>
        </is>
      </c>
      <c r="C260" t="inlineStr">
        <is>
          <t>2026-07-30</t>
        </is>
      </c>
      <c r="D260" t="n">
        <v>11.98</v>
      </c>
      <c r="E260" t="n">
        <v>34.23</v>
      </c>
      <c r="F260" t="n">
        <v>0.33</v>
      </c>
      <c r="G260" t="n">
        <v>29.93</v>
      </c>
      <c r="H260" t="n">
        <v>-18.28</v>
      </c>
      <c r="I260" t="n">
        <v>45</v>
      </c>
      <c r="J260" t="n">
        <v>45</v>
      </c>
      <c r="K260" t="n">
        <v>65</v>
      </c>
      <c r="L260" t="b">
        <v>0</v>
      </c>
      <c r="M260" t="b">
        <v>0</v>
      </c>
      <c r="N260" t="inlineStr">
        <is>
          <t>AVOID</t>
        </is>
      </c>
    </row>
    <row r="261">
      <c r="A261" t="n">
        <v>260</v>
      </c>
      <c r="B261" t="inlineStr">
        <is>
          <t>RYTM</t>
        </is>
      </c>
      <c r="C261" t="inlineStr">
        <is>
          <t>2026-07-30</t>
        </is>
      </c>
      <c r="D261" t="n">
        <v>105.71</v>
      </c>
      <c r="E261" t="n">
        <v>44.52</v>
      </c>
      <c r="F261" t="n">
        <v>0.31</v>
      </c>
      <c r="G261" t="n">
        <v>29.93</v>
      </c>
      <c r="H261" t="n">
        <v>-10.13</v>
      </c>
      <c r="I261" t="n">
        <v>45</v>
      </c>
      <c r="J261" t="n">
        <v>60</v>
      </c>
      <c r="K261" t="n">
        <v>65</v>
      </c>
      <c r="L261" t="b">
        <v>0</v>
      </c>
      <c r="M261" t="b">
        <v>0</v>
      </c>
      <c r="N261" t="inlineStr">
        <is>
          <t>AVOID</t>
        </is>
      </c>
    </row>
    <row r="262">
      <c r="A262" t="n">
        <v>261</v>
      </c>
      <c r="B262" t="inlineStr">
        <is>
          <t>DNLI</t>
        </is>
      </c>
      <c r="C262" t="inlineStr">
        <is>
          <t>2026-07-30</t>
        </is>
      </c>
      <c r="D262" t="n">
        <v>24.27</v>
      </c>
      <c r="E262" t="n">
        <v>42.54</v>
      </c>
      <c r="F262" t="n">
        <v>0.31</v>
      </c>
      <c r="G262" t="n">
        <v>29.65</v>
      </c>
      <c r="H262" t="n">
        <v>-10.8</v>
      </c>
      <c r="I262" t="n">
        <v>45</v>
      </c>
      <c r="J262" t="n">
        <v>60</v>
      </c>
      <c r="K262" t="n">
        <v>65</v>
      </c>
      <c r="L262" t="b">
        <v>0</v>
      </c>
      <c r="M262" t="b">
        <v>0</v>
      </c>
      <c r="N262" t="inlineStr">
        <is>
          <t>AVOID</t>
        </is>
      </c>
    </row>
    <row r="263">
      <c r="A263" t="n">
        <v>262</v>
      </c>
      <c r="B263" t="inlineStr">
        <is>
          <t>NWL</t>
        </is>
      </c>
      <c r="C263" t="inlineStr">
        <is>
          <t>2026-07-30</t>
        </is>
      </c>
      <c r="D263" t="n">
        <v>5.14</v>
      </c>
      <c r="E263" t="n">
        <v>49.32</v>
      </c>
      <c r="F263" t="n">
        <v>0.5</v>
      </c>
      <c r="G263" t="n">
        <v>28.62</v>
      </c>
      <c r="H263" t="n">
        <v>-16.21</v>
      </c>
      <c r="I263" t="n">
        <v>45</v>
      </c>
      <c r="J263" t="n">
        <v>85</v>
      </c>
      <c r="K263" t="n">
        <v>65</v>
      </c>
      <c r="L263" t="b">
        <v>0</v>
      </c>
      <c r="M263" t="b">
        <v>0</v>
      </c>
      <c r="N263" t="inlineStr">
        <is>
          <t>AVOID</t>
        </is>
      </c>
    </row>
    <row r="264">
      <c r="A264" t="n">
        <v>263</v>
      </c>
      <c r="B264" t="inlineStr">
        <is>
          <t>DXCM</t>
        </is>
      </c>
      <c r="C264" t="inlineStr">
        <is>
          <t>2026-07-30</t>
        </is>
      </c>
      <c r="D264" t="n">
        <v>73.84999999999999</v>
      </c>
      <c r="E264" t="n">
        <v>47.66</v>
      </c>
      <c r="F264" t="n">
        <v>0.73</v>
      </c>
      <c r="G264" t="n">
        <v>24.01</v>
      </c>
      <c r="H264" t="n">
        <v>-17.08</v>
      </c>
      <c r="I264" t="n">
        <v>45</v>
      </c>
      <c r="J264" t="n">
        <v>85</v>
      </c>
      <c r="K264" t="n">
        <v>65</v>
      </c>
      <c r="L264" t="b">
        <v>0</v>
      </c>
      <c r="M264" t="b">
        <v>0</v>
      </c>
      <c r="N264" t="inlineStr">
        <is>
          <t>AVOID</t>
        </is>
      </c>
    </row>
    <row r="265">
      <c r="A265" t="n">
        <v>264</v>
      </c>
      <c r="B265" t="inlineStr">
        <is>
          <t>IDYA</t>
        </is>
      </c>
      <c r="C265" t="inlineStr">
        <is>
          <t>2026-07-30</t>
        </is>
      </c>
      <c r="D265" t="n">
        <v>35.87</v>
      </c>
      <c r="E265" t="n">
        <v>43.98</v>
      </c>
      <c r="F265" t="n">
        <v>0.36</v>
      </c>
      <c r="G265" t="n">
        <v>23.26</v>
      </c>
      <c r="H265" t="n">
        <v>-11.45</v>
      </c>
      <c r="I265" t="n">
        <v>45</v>
      </c>
      <c r="J265" t="n">
        <v>60</v>
      </c>
      <c r="K265" t="n">
        <v>65</v>
      </c>
      <c r="L265" t="b">
        <v>0</v>
      </c>
      <c r="M265" t="b">
        <v>0</v>
      </c>
      <c r="N265" t="inlineStr">
        <is>
          <t>AVOID</t>
        </is>
      </c>
    </row>
    <row r="266">
      <c r="A266" t="n">
        <v>265</v>
      </c>
      <c r="B266" t="inlineStr">
        <is>
          <t>QNST</t>
        </is>
      </c>
      <c r="C266" t="inlineStr">
        <is>
          <t>2026-07-30</t>
        </is>
      </c>
      <c r="D266" t="n">
        <v>15.61</v>
      </c>
      <c r="E266" t="n">
        <v>40.2</v>
      </c>
      <c r="F266" t="n">
        <v>0.39</v>
      </c>
      <c r="G266" t="n">
        <v>22.34</v>
      </c>
      <c r="H266" t="n">
        <v>-11.91</v>
      </c>
      <c r="I266" t="n">
        <v>45</v>
      </c>
      <c r="J266" t="n">
        <v>45</v>
      </c>
      <c r="K266" t="n">
        <v>65</v>
      </c>
      <c r="L266" t="b">
        <v>0</v>
      </c>
      <c r="M266" t="b">
        <v>0</v>
      </c>
      <c r="N266" t="inlineStr">
        <is>
          <t>AVOID</t>
        </is>
      </c>
    </row>
    <row r="267">
      <c r="A267" t="n">
        <v>266</v>
      </c>
      <c r="B267" t="inlineStr">
        <is>
          <t>RGEN</t>
        </is>
      </c>
      <c r="C267" t="inlineStr">
        <is>
          <t>2026-07-30</t>
        </is>
      </c>
      <c r="D267" t="n">
        <v>143.67</v>
      </c>
      <c r="E267" t="n">
        <v>49.42</v>
      </c>
      <c r="F267" t="n">
        <v>0.48</v>
      </c>
      <c r="G267" t="n">
        <v>21.44</v>
      </c>
      <c r="H267" t="n">
        <v>-16.6</v>
      </c>
      <c r="I267" t="n">
        <v>45</v>
      </c>
      <c r="J267" t="n">
        <v>85</v>
      </c>
      <c r="K267" t="n">
        <v>65</v>
      </c>
      <c r="L267" t="b">
        <v>0</v>
      </c>
      <c r="M267" t="b">
        <v>0</v>
      </c>
      <c r="N267" t="inlineStr">
        <is>
          <t>AVOID</t>
        </is>
      </c>
    </row>
    <row r="268">
      <c r="A268" t="n">
        <v>267</v>
      </c>
      <c r="B268" t="inlineStr">
        <is>
          <t>LNTH</t>
        </is>
      </c>
      <c r="C268" t="inlineStr">
        <is>
          <t>2026-07-30</t>
        </is>
      </c>
      <c r="D268" t="n">
        <v>102.38</v>
      </c>
      <c r="E268" t="n">
        <v>45.23</v>
      </c>
      <c r="F268" t="n">
        <v>0.82</v>
      </c>
      <c r="G268" t="n">
        <v>20.99</v>
      </c>
      <c r="H268" t="n">
        <v>-7.72</v>
      </c>
      <c r="I268" t="n">
        <v>35</v>
      </c>
      <c r="J268" t="n">
        <v>65</v>
      </c>
      <c r="K268" t="n">
        <v>65</v>
      </c>
      <c r="L268" t="b">
        <v>0</v>
      </c>
      <c r="M268" t="b">
        <v>0</v>
      </c>
      <c r="N268" t="inlineStr">
        <is>
          <t>AVOID</t>
        </is>
      </c>
    </row>
    <row r="269">
      <c r="A269" t="n">
        <v>268</v>
      </c>
      <c r="B269" t="inlineStr">
        <is>
          <t>FFIV</t>
        </is>
      </c>
      <c r="C269" t="inlineStr">
        <is>
          <t>2026-07-30</t>
        </is>
      </c>
      <c r="D269" t="n">
        <v>389.82</v>
      </c>
      <c r="E269" t="n">
        <v>33.6</v>
      </c>
      <c r="F269" t="n">
        <v>0.58</v>
      </c>
      <c r="G269" t="n">
        <v>20.35</v>
      </c>
      <c r="H269" t="n">
        <v>-9.609999999999999</v>
      </c>
      <c r="I269" t="n">
        <v>35</v>
      </c>
      <c r="J269" t="n">
        <v>25</v>
      </c>
      <c r="K269" t="n">
        <v>65</v>
      </c>
      <c r="L269" t="b">
        <v>0</v>
      </c>
      <c r="M269" t="b">
        <v>0</v>
      </c>
      <c r="N269" t="inlineStr">
        <is>
          <t>AVOID</t>
        </is>
      </c>
    </row>
    <row r="270">
      <c r="A270" t="n">
        <v>269</v>
      </c>
      <c r="B270" t="inlineStr">
        <is>
          <t>MIDD</t>
        </is>
      </c>
      <c r="C270" t="inlineStr">
        <is>
          <t>2026-07-30</t>
        </is>
      </c>
      <c r="D270" t="n">
        <v>132.88</v>
      </c>
      <c r="E270" t="n">
        <v>44.34</v>
      </c>
      <c r="F270" t="n">
        <v>0.27</v>
      </c>
      <c r="G270" t="n">
        <v>17.68</v>
      </c>
      <c r="H270" t="n">
        <v>-7.83</v>
      </c>
      <c r="I270" t="n">
        <v>45</v>
      </c>
      <c r="J270" t="n">
        <v>60</v>
      </c>
      <c r="K270" t="n">
        <v>65</v>
      </c>
      <c r="L270" t="b">
        <v>0</v>
      </c>
      <c r="M270" t="b">
        <v>0</v>
      </c>
      <c r="N270" t="inlineStr">
        <is>
          <t>AVOID</t>
        </is>
      </c>
    </row>
    <row r="271">
      <c r="A271" t="n">
        <v>270</v>
      </c>
      <c r="B271" t="inlineStr">
        <is>
          <t>GCMG</t>
        </is>
      </c>
      <c r="C271" t="inlineStr">
        <is>
          <t>2026-07-30</t>
        </is>
      </c>
      <c r="D271" t="n">
        <v>12.48</v>
      </c>
      <c r="E271" t="n">
        <v>33.43</v>
      </c>
      <c r="F271" t="n">
        <v>0.39</v>
      </c>
      <c r="G271" t="n">
        <v>15.54</v>
      </c>
      <c r="H271" t="n">
        <v>-9.67</v>
      </c>
      <c r="I271" t="n">
        <v>45</v>
      </c>
      <c r="J271" t="n">
        <v>45</v>
      </c>
      <c r="K271" t="n">
        <v>65</v>
      </c>
      <c r="L271" t="b">
        <v>0</v>
      </c>
      <c r="M271" t="b">
        <v>0</v>
      </c>
      <c r="N271" t="inlineStr">
        <is>
          <t>AVOID</t>
        </is>
      </c>
    </row>
    <row r="272">
      <c r="A272" t="n">
        <v>271</v>
      </c>
      <c r="B272" t="inlineStr">
        <is>
          <t>BBIO</t>
        </is>
      </c>
      <c r="C272" t="inlineStr">
        <is>
          <t>2026-07-30</t>
        </is>
      </c>
      <c r="D272" t="n">
        <v>81.38</v>
      </c>
      <c r="E272" t="n">
        <v>37.66</v>
      </c>
      <c r="F272" t="n">
        <v>0.42</v>
      </c>
      <c r="G272" t="n">
        <v>14.44</v>
      </c>
      <c r="H272" t="n">
        <v>-9.75</v>
      </c>
      <c r="I272" t="n">
        <v>45</v>
      </c>
      <c r="J272" t="n">
        <v>60</v>
      </c>
      <c r="K272" t="n">
        <v>65</v>
      </c>
      <c r="L272" t="b">
        <v>0</v>
      </c>
      <c r="M272" t="b">
        <v>0</v>
      </c>
      <c r="N272" t="inlineStr">
        <is>
          <t>AVOID</t>
        </is>
      </c>
    </row>
    <row r="273">
      <c r="A273" t="n">
        <v>272</v>
      </c>
      <c r="B273" t="inlineStr">
        <is>
          <t>XENE</t>
        </is>
      </c>
      <c r="C273" t="inlineStr">
        <is>
          <t>2026-07-30</t>
        </is>
      </c>
      <c r="D273" t="n">
        <v>63.94</v>
      </c>
      <c r="E273" t="n">
        <v>29.52</v>
      </c>
      <c r="F273" t="n">
        <v>0.21</v>
      </c>
      <c r="G273" t="n">
        <v>14.1</v>
      </c>
      <c r="H273" t="n">
        <v>-9.890000000000001</v>
      </c>
      <c r="I273" t="n">
        <v>45</v>
      </c>
      <c r="J273" t="n">
        <v>45</v>
      </c>
      <c r="K273" t="n">
        <v>65</v>
      </c>
      <c r="L273" t="b">
        <v>0</v>
      </c>
      <c r="M273" t="b">
        <v>0</v>
      </c>
      <c r="N273" t="inlineStr">
        <is>
          <t>AVOID</t>
        </is>
      </c>
    </row>
    <row r="274">
      <c r="A274" t="n">
        <v>273</v>
      </c>
      <c r="B274" t="inlineStr">
        <is>
          <t>IBKR</t>
        </is>
      </c>
      <c r="C274" t="inlineStr">
        <is>
          <t>2026-07-30</t>
        </is>
      </c>
      <c r="D274" t="n">
        <v>90.34999999999999</v>
      </c>
      <c r="E274" t="n">
        <v>43.43</v>
      </c>
      <c r="F274" t="n">
        <v>0.74</v>
      </c>
      <c r="G274" t="n">
        <v>13.76</v>
      </c>
      <c r="H274" t="n">
        <v>-7.25</v>
      </c>
      <c r="I274" t="n">
        <v>45</v>
      </c>
      <c r="J274" t="n">
        <v>60</v>
      </c>
      <c r="K274" t="n">
        <v>65</v>
      </c>
      <c r="L274" t="b">
        <v>0</v>
      </c>
      <c r="M274" t="b">
        <v>0</v>
      </c>
      <c r="N274" t="inlineStr">
        <is>
          <t>AVOID</t>
        </is>
      </c>
    </row>
    <row r="275">
      <c r="A275" t="n">
        <v>274</v>
      </c>
      <c r="B275" t="inlineStr">
        <is>
          <t>EXPD</t>
        </is>
      </c>
      <c r="C275" t="inlineStr">
        <is>
          <t>2026-07-30</t>
        </is>
      </c>
      <c r="D275" t="n">
        <v>167.19</v>
      </c>
      <c r="E275" t="n">
        <v>41.95</v>
      </c>
      <c r="F275" t="n">
        <v>0.55</v>
      </c>
      <c r="G275" t="n">
        <v>13.63</v>
      </c>
      <c r="H275" t="n">
        <v>-8.539999999999999</v>
      </c>
      <c r="I275" t="n">
        <v>45</v>
      </c>
      <c r="J275" t="n">
        <v>45</v>
      </c>
      <c r="K275" t="n">
        <v>65</v>
      </c>
      <c r="L275" t="b">
        <v>0</v>
      </c>
      <c r="M275" t="b">
        <v>0</v>
      </c>
      <c r="N275" t="inlineStr">
        <is>
          <t>AVOID</t>
        </is>
      </c>
    </row>
    <row r="276">
      <c r="A276" t="n">
        <v>275</v>
      </c>
      <c r="B276" t="inlineStr">
        <is>
          <t>SIGI</t>
        </is>
      </c>
      <c r="C276" t="inlineStr">
        <is>
          <t>2026-07-30</t>
        </is>
      </c>
      <c r="D276" t="n">
        <v>94.39</v>
      </c>
      <c r="E276" t="n">
        <v>47.1</v>
      </c>
      <c r="F276" t="n">
        <v>0.62</v>
      </c>
      <c r="G276" t="n">
        <v>13</v>
      </c>
      <c r="H276" t="n">
        <v>-5.75</v>
      </c>
      <c r="I276" t="n">
        <v>45</v>
      </c>
      <c r="J276" t="n">
        <v>85</v>
      </c>
      <c r="K276" t="n">
        <v>65</v>
      </c>
      <c r="L276" t="b">
        <v>0</v>
      </c>
      <c r="M276" t="b">
        <v>0</v>
      </c>
      <c r="N276" t="inlineStr">
        <is>
          <t>AVOID</t>
        </is>
      </c>
    </row>
    <row r="277">
      <c r="A277" t="n">
        <v>276</v>
      </c>
      <c r="B277" t="inlineStr">
        <is>
          <t>FFBC</t>
        </is>
      </c>
      <c r="C277" t="inlineStr">
        <is>
          <t>2026-07-30</t>
        </is>
      </c>
      <c r="D277" t="n">
        <v>33.9</v>
      </c>
      <c r="E277" t="n">
        <v>44.96</v>
      </c>
      <c r="F277" t="n">
        <v>0.34</v>
      </c>
      <c r="G277" t="n">
        <v>12.87</v>
      </c>
      <c r="H277" t="n">
        <v>-6.3</v>
      </c>
      <c r="I277" t="n">
        <v>45</v>
      </c>
      <c r="J277" t="n">
        <v>60</v>
      </c>
      <c r="K277" t="n">
        <v>65</v>
      </c>
      <c r="L277" t="b">
        <v>0</v>
      </c>
      <c r="M277" t="b">
        <v>0</v>
      </c>
      <c r="N277" t="inlineStr">
        <is>
          <t>AVOID</t>
        </is>
      </c>
    </row>
    <row r="278">
      <c r="A278" t="n">
        <v>277</v>
      </c>
      <c r="B278" t="inlineStr">
        <is>
          <t>VRTX</t>
        </is>
      </c>
      <c r="C278" t="inlineStr">
        <is>
          <t>2026-07-30</t>
        </is>
      </c>
      <c r="D278" t="n">
        <v>479.53</v>
      </c>
      <c r="E278" t="n">
        <v>45.42</v>
      </c>
      <c r="F278" t="n">
        <v>0.41</v>
      </c>
      <c r="G278" t="n">
        <v>12.2</v>
      </c>
      <c r="H278" t="n">
        <v>-9.449999999999999</v>
      </c>
      <c r="I278" t="n">
        <v>45</v>
      </c>
      <c r="J278" t="n">
        <v>85</v>
      </c>
      <c r="K278" t="n">
        <v>65</v>
      </c>
      <c r="L278" t="b">
        <v>0</v>
      </c>
      <c r="M278" t="b">
        <v>0</v>
      </c>
      <c r="N278" t="inlineStr">
        <is>
          <t>AVOID</t>
        </is>
      </c>
    </row>
    <row r="279">
      <c r="A279" t="n">
        <v>278</v>
      </c>
      <c r="B279" t="inlineStr">
        <is>
          <t>ARCB</t>
        </is>
      </c>
      <c r="C279" t="inlineStr">
        <is>
          <t>2026-07-30</t>
        </is>
      </c>
      <c r="D279" t="n">
        <v>141.15</v>
      </c>
      <c r="E279" t="n">
        <v>43.52</v>
      </c>
      <c r="F279" t="n">
        <v>1.69</v>
      </c>
      <c r="G279" t="n">
        <v>10.75</v>
      </c>
      <c r="H279" t="n">
        <v>-18.51</v>
      </c>
      <c r="I279" t="n">
        <v>35</v>
      </c>
      <c r="J279" t="n">
        <v>40</v>
      </c>
      <c r="K279" t="n">
        <v>65</v>
      </c>
      <c r="L279" t="b">
        <v>0</v>
      </c>
      <c r="M279" t="b">
        <v>0</v>
      </c>
      <c r="N279" t="inlineStr">
        <is>
          <t>AVOID</t>
        </is>
      </c>
    </row>
    <row r="280">
      <c r="A280" t="n">
        <v>279</v>
      </c>
      <c r="B280" t="inlineStr">
        <is>
          <t>ZION</t>
        </is>
      </c>
      <c r="C280" t="inlineStr">
        <is>
          <t>2026-07-30</t>
        </is>
      </c>
      <c r="D280" t="n">
        <v>69.58</v>
      </c>
      <c r="E280" t="n">
        <v>45.74</v>
      </c>
      <c r="F280" t="n">
        <v>0.42</v>
      </c>
      <c r="G280" t="n">
        <v>10.56</v>
      </c>
      <c r="H280" t="n">
        <v>-5.08</v>
      </c>
      <c r="I280" t="n">
        <v>45</v>
      </c>
      <c r="J280" t="n">
        <v>85</v>
      </c>
      <c r="K280" t="n">
        <v>65</v>
      </c>
      <c r="L280" t="b">
        <v>0</v>
      </c>
      <c r="M280" t="b">
        <v>0</v>
      </c>
      <c r="N280" t="inlineStr">
        <is>
          <t>AVOID</t>
        </is>
      </c>
    </row>
    <row r="281">
      <c r="A281" t="n">
        <v>280</v>
      </c>
      <c r="B281" t="inlineStr">
        <is>
          <t>SIMO</t>
        </is>
      </c>
      <c r="C281" t="inlineStr">
        <is>
          <t>2026-07-30</t>
        </is>
      </c>
      <c r="D281" t="n">
        <v>240.5</v>
      </c>
      <c r="E281" t="n">
        <v>31.98</v>
      </c>
      <c r="F281" t="n">
        <v>2.33</v>
      </c>
      <c r="G281" t="n">
        <v>10.15</v>
      </c>
      <c r="H281" t="n">
        <v>-28.61</v>
      </c>
      <c r="I281" t="n">
        <v>25</v>
      </c>
      <c r="J281" t="n">
        <v>40</v>
      </c>
      <c r="K281" t="n">
        <v>65</v>
      </c>
      <c r="L281" t="b">
        <v>0</v>
      </c>
      <c r="M281" t="b">
        <v>0</v>
      </c>
      <c r="N281" t="inlineStr">
        <is>
          <t>AVOID</t>
        </is>
      </c>
    </row>
    <row r="282">
      <c r="A282" t="n">
        <v>281</v>
      </c>
      <c r="B282" t="inlineStr">
        <is>
          <t>FIBK</t>
        </is>
      </c>
      <c r="C282" t="inlineStr">
        <is>
          <t>2026-07-30</t>
        </is>
      </c>
      <c r="D282" t="n">
        <v>38.53</v>
      </c>
      <c r="E282" t="n">
        <v>47.46</v>
      </c>
      <c r="F282" t="n">
        <v>0.51</v>
      </c>
      <c r="G282" t="n">
        <v>10</v>
      </c>
      <c r="H282" t="n">
        <v>-4.19</v>
      </c>
      <c r="I282" t="n">
        <v>45</v>
      </c>
      <c r="J282" t="n">
        <v>85</v>
      </c>
      <c r="K282" t="n">
        <v>65</v>
      </c>
      <c r="L282" t="b">
        <v>0</v>
      </c>
      <c r="M282" t="b">
        <v>0</v>
      </c>
      <c r="N282" t="inlineStr">
        <is>
          <t>AVOID</t>
        </is>
      </c>
    </row>
    <row r="283">
      <c r="A283" t="n">
        <v>282</v>
      </c>
      <c r="B283" t="inlineStr">
        <is>
          <t>KDP</t>
        </is>
      </c>
      <c r="C283" t="inlineStr">
        <is>
          <t>2026-07-30</t>
        </is>
      </c>
      <c r="D283" t="n">
        <v>31.35</v>
      </c>
      <c r="E283" t="n">
        <v>47.42</v>
      </c>
      <c r="F283" t="n">
        <v>0.61</v>
      </c>
      <c r="G283" t="n">
        <v>7.41</v>
      </c>
      <c r="H283" t="n">
        <v>-7.92</v>
      </c>
      <c r="I283" t="n">
        <v>55</v>
      </c>
      <c r="J283" t="n">
        <v>85</v>
      </c>
      <c r="K283" t="n">
        <v>65</v>
      </c>
      <c r="L283" t="b">
        <v>0</v>
      </c>
      <c r="M283" t="b">
        <v>0</v>
      </c>
      <c r="N283" t="inlineStr">
        <is>
          <t>AVOID</t>
        </is>
      </c>
    </row>
    <row r="284">
      <c r="A284" t="n">
        <v>283</v>
      </c>
      <c r="B284" t="inlineStr">
        <is>
          <t>CZR</t>
        </is>
      </c>
      <c r="C284" t="inlineStr">
        <is>
          <t>2026-07-30</t>
        </is>
      </c>
      <c r="D284" t="n">
        <v>29.64</v>
      </c>
      <c r="E284" t="n">
        <v>44.13</v>
      </c>
      <c r="F284" t="n">
        <v>0.38</v>
      </c>
      <c r="G284" t="n">
        <v>6.6</v>
      </c>
      <c r="H284" t="n">
        <v>-2.55</v>
      </c>
      <c r="I284" t="n">
        <v>45</v>
      </c>
      <c r="J284" t="n">
        <v>60</v>
      </c>
      <c r="K284" t="n">
        <v>65</v>
      </c>
      <c r="L284" t="b">
        <v>0</v>
      </c>
      <c r="M284" t="b">
        <v>0</v>
      </c>
      <c r="N284" t="inlineStr">
        <is>
          <t>AVOID</t>
        </is>
      </c>
    </row>
    <row r="285">
      <c r="A285" t="n">
        <v>284</v>
      </c>
      <c r="B285" t="inlineStr">
        <is>
          <t>WTFC</t>
        </is>
      </c>
      <c r="C285" t="inlineStr">
        <is>
          <t>2026-07-30</t>
        </is>
      </c>
      <c r="D285" t="n">
        <v>159.48</v>
      </c>
      <c r="E285" t="n">
        <v>44.9</v>
      </c>
      <c r="F285" t="n">
        <v>0.4</v>
      </c>
      <c r="G285" t="n">
        <v>6.32</v>
      </c>
      <c r="H285" t="n">
        <v>-4.45</v>
      </c>
      <c r="I285" t="n">
        <v>45</v>
      </c>
      <c r="J285" t="n">
        <v>60</v>
      </c>
      <c r="K285" t="n">
        <v>65</v>
      </c>
      <c r="L285" t="b">
        <v>0</v>
      </c>
      <c r="M285" t="b">
        <v>0</v>
      </c>
      <c r="N285" t="inlineStr">
        <is>
          <t>AVOID</t>
        </is>
      </c>
    </row>
    <row r="286">
      <c r="A286" t="n">
        <v>285</v>
      </c>
      <c r="B286" t="inlineStr">
        <is>
          <t>EWBC</t>
        </is>
      </c>
      <c r="C286" t="inlineStr">
        <is>
          <t>2026-07-30</t>
        </is>
      </c>
      <c r="D286" t="n">
        <v>131.35</v>
      </c>
      <c r="E286" t="n">
        <v>49.38</v>
      </c>
      <c r="F286" t="n">
        <v>0.3</v>
      </c>
      <c r="G286" t="n">
        <v>4.52</v>
      </c>
      <c r="H286" t="n">
        <v>-3.52</v>
      </c>
      <c r="I286" t="n">
        <v>45</v>
      </c>
      <c r="J286" t="n">
        <v>85</v>
      </c>
      <c r="K286" t="n">
        <v>65</v>
      </c>
      <c r="L286" t="b">
        <v>0</v>
      </c>
      <c r="M286" t="b">
        <v>0</v>
      </c>
      <c r="N286" t="inlineStr">
        <is>
          <t>AVOID</t>
        </is>
      </c>
    </row>
    <row r="287">
      <c r="A287" t="n">
        <v>286</v>
      </c>
      <c r="B287" t="inlineStr">
        <is>
          <t>AGNC</t>
        </is>
      </c>
      <c r="C287" t="inlineStr">
        <is>
          <t>2026-07-30</t>
        </is>
      </c>
      <c r="D287" t="n">
        <v>10.91</v>
      </c>
      <c r="E287" t="n">
        <v>44.86</v>
      </c>
      <c r="F287" t="n">
        <v>0.73</v>
      </c>
      <c r="G287" t="n">
        <v>1.25</v>
      </c>
      <c r="H287" t="n">
        <v>-4.55</v>
      </c>
      <c r="I287" t="n">
        <v>45</v>
      </c>
      <c r="J287" t="n">
        <v>60</v>
      </c>
      <c r="K287" t="n">
        <v>65</v>
      </c>
      <c r="L287" t="b">
        <v>0</v>
      </c>
      <c r="M287" t="b">
        <v>0</v>
      </c>
      <c r="N287" t="inlineStr">
        <is>
          <t>AVOID</t>
        </is>
      </c>
    </row>
    <row r="288">
      <c r="A288" t="n">
        <v>287</v>
      </c>
      <c r="B288" t="inlineStr">
        <is>
          <t>CSWC</t>
        </is>
      </c>
      <c r="C288" t="inlineStr">
        <is>
          <t>2026-07-30</t>
        </is>
      </c>
      <c r="D288" t="n">
        <v>23.57</v>
      </c>
      <c r="E288" t="n">
        <v>48.58</v>
      </c>
      <c r="F288" t="n">
        <v>0.51</v>
      </c>
      <c r="G288" t="n">
        <v>0.87</v>
      </c>
      <c r="H288" t="n">
        <v>-3.02</v>
      </c>
      <c r="I288" t="n">
        <v>45</v>
      </c>
      <c r="J288" t="n">
        <v>85</v>
      </c>
      <c r="K288" t="n">
        <v>65</v>
      </c>
      <c r="L288" t="b">
        <v>0</v>
      </c>
      <c r="M288" t="b">
        <v>0</v>
      </c>
      <c r="N288" t="inlineStr">
        <is>
          <t>AVOID</t>
        </is>
      </c>
    </row>
    <row r="289">
      <c r="A289" t="n">
        <v>288</v>
      </c>
      <c r="B289" t="inlineStr">
        <is>
          <t>WWD</t>
        </is>
      </c>
      <c r="C289" t="inlineStr">
        <is>
          <t>2026-07-30</t>
        </is>
      </c>
      <c r="D289" t="n">
        <v>355.21</v>
      </c>
      <c r="E289" t="n">
        <v>29.34</v>
      </c>
      <c r="F289" t="n">
        <v>2.34</v>
      </c>
      <c r="G289" t="n">
        <v>-2.06</v>
      </c>
      <c r="H289" t="n">
        <v>-18.61</v>
      </c>
      <c r="I289" t="n">
        <v>35</v>
      </c>
      <c r="J289" t="n">
        <v>40</v>
      </c>
      <c r="K289" t="n">
        <v>65</v>
      </c>
      <c r="L289" t="b">
        <v>0</v>
      </c>
      <c r="M289" t="b">
        <v>0</v>
      </c>
      <c r="N289" t="inlineStr">
        <is>
          <t>AVOID</t>
        </is>
      </c>
    </row>
    <row r="290">
      <c r="A290" t="n">
        <v>289</v>
      </c>
      <c r="B290" t="inlineStr">
        <is>
          <t>RPD</t>
        </is>
      </c>
      <c r="C290" t="inlineStr">
        <is>
          <t>2026-07-30</t>
        </is>
      </c>
      <c r="D290" t="n">
        <v>9.4</v>
      </c>
      <c r="E290" t="n">
        <v>34.56</v>
      </c>
      <c r="F290" t="n">
        <v>0.51</v>
      </c>
      <c r="G290" t="n">
        <v>59.41</v>
      </c>
      <c r="H290" t="n">
        <v>-56.6</v>
      </c>
      <c r="I290" t="n">
        <v>20</v>
      </c>
      <c r="J290" t="n">
        <v>20</v>
      </c>
      <c r="K290" t="n">
        <v>60</v>
      </c>
      <c r="L290" t="b">
        <v>0</v>
      </c>
      <c r="M290" t="b">
        <v>0</v>
      </c>
      <c r="N290" t="inlineStr">
        <is>
          <t>AVOID</t>
        </is>
      </c>
    </row>
    <row r="291">
      <c r="A291" t="n">
        <v>290</v>
      </c>
      <c r="B291" t="inlineStr">
        <is>
          <t>ORIC</t>
        </is>
      </c>
      <c r="C291" t="inlineStr">
        <is>
          <t>2026-07-30</t>
        </is>
      </c>
      <c r="D291" t="n">
        <v>11.49</v>
      </c>
      <c r="E291" t="n">
        <v>56.87</v>
      </c>
      <c r="F291" t="n">
        <v>0.35</v>
      </c>
      <c r="G291" t="n">
        <v>16.3</v>
      </c>
      <c r="H291" t="n">
        <v>-20.26</v>
      </c>
      <c r="I291" t="n">
        <v>50</v>
      </c>
      <c r="J291" t="n">
        <v>70</v>
      </c>
      <c r="K291" t="n">
        <v>60</v>
      </c>
      <c r="L291" t="b">
        <v>0</v>
      </c>
      <c r="M291" t="b">
        <v>0</v>
      </c>
      <c r="N291" t="inlineStr">
        <is>
          <t>AVOID</t>
        </is>
      </c>
    </row>
    <row r="292">
      <c r="A292" t="n">
        <v>291</v>
      </c>
      <c r="B292" t="inlineStr">
        <is>
          <t>ITRI</t>
        </is>
      </c>
      <c r="C292" t="inlineStr">
        <is>
          <t>2026-07-30</t>
        </is>
      </c>
      <c r="D292" t="n">
        <v>97.33</v>
      </c>
      <c r="E292" t="n">
        <v>65.06999999999999</v>
      </c>
      <c r="F292" t="n">
        <v>0.87</v>
      </c>
      <c r="G292" t="n">
        <v>16.15</v>
      </c>
      <c r="H292" t="n">
        <v>-29.68</v>
      </c>
      <c r="I292" t="n">
        <v>50</v>
      </c>
      <c r="J292" t="n">
        <v>45</v>
      </c>
      <c r="K292" t="n">
        <v>60</v>
      </c>
      <c r="L292" t="b">
        <v>0</v>
      </c>
      <c r="M292" t="b">
        <v>0</v>
      </c>
      <c r="N292" t="inlineStr">
        <is>
          <t>AVOID</t>
        </is>
      </c>
    </row>
    <row r="293">
      <c r="A293" t="n">
        <v>292</v>
      </c>
      <c r="B293" t="inlineStr">
        <is>
          <t>PYPL</t>
        </is>
      </c>
      <c r="C293" t="inlineStr">
        <is>
          <t>2026-07-30</t>
        </is>
      </c>
      <c r="D293" t="n">
        <v>57.64</v>
      </c>
      <c r="E293" t="n">
        <v>84.47</v>
      </c>
      <c r="F293" t="n">
        <v>0.39</v>
      </c>
      <c r="G293" t="n">
        <v>15.34</v>
      </c>
      <c r="H293" t="n">
        <v>-23.63</v>
      </c>
      <c r="I293" t="n">
        <v>50</v>
      </c>
      <c r="J293" t="n">
        <v>45</v>
      </c>
      <c r="K293" t="n">
        <v>60</v>
      </c>
      <c r="L293" t="b">
        <v>0</v>
      </c>
      <c r="M293" t="b">
        <v>0</v>
      </c>
      <c r="N293" t="inlineStr">
        <is>
          <t>AVOID</t>
        </is>
      </c>
    </row>
    <row r="294">
      <c r="A294" t="n">
        <v>293</v>
      </c>
      <c r="B294" t="inlineStr">
        <is>
          <t>BKNG</t>
        </is>
      </c>
      <c r="C294" t="inlineStr">
        <is>
          <t>2026-07-30</t>
        </is>
      </c>
      <c r="D294" t="n">
        <v>193.12</v>
      </c>
      <c r="E294" t="n">
        <v>61.93</v>
      </c>
      <c r="F294" t="n">
        <v>0.7</v>
      </c>
      <c r="G294" t="n">
        <v>14.99</v>
      </c>
      <c r="H294" t="n">
        <v>-14.9</v>
      </c>
      <c r="I294" t="n">
        <v>50</v>
      </c>
      <c r="J294" t="n">
        <v>70</v>
      </c>
      <c r="K294" t="n">
        <v>60</v>
      </c>
      <c r="L294" t="b">
        <v>0</v>
      </c>
      <c r="M294" t="b">
        <v>0</v>
      </c>
      <c r="N294" t="inlineStr">
        <is>
          <t>AVOID</t>
        </is>
      </c>
    </row>
    <row r="295">
      <c r="A295" t="n">
        <v>294</v>
      </c>
      <c r="B295" t="inlineStr">
        <is>
          <t>PLMR</t>
        </is>
      </c>
      <c r="C295" t="inlineStr">
        <is>
          <t>2026-07-30</t>
        </is>
      </c>
      <c r="D295" t="n">
        <v>136.09</v>
      </c>
      <c r="E295" t="n">
        <v>50.01</v>
      </c>
      <c r="F295" t="n">
        <v>0.4</v>
      </c>
      <c r="G295" t="n">
        <v>13.05</v>
      </c>
      <c r="H295" t="n">
        <v>-6.34</v>
      </c>
      <c r="I295" t="n">
        <v>40</v>
      </c>
      <c r="J295" t="n">
        <v>85</v>
      </c>
      <c r="K295" t="n">
        <v>60</v>
      </c>
      <c r="L295" t="b">
        <v>0</v>
      </c>
      <c r="M295" t="b">
        <v>0</v>
      </c>
      <c r="N295" t="inlineStr">
        <is>
          <t>AVOID</t>
        </is>
      </c>
    </row>
    <row r="296">
      <c r="A296" t="n">
        <v>295</v>
      </c>
      <c r="B296" t="inlineStr">
        <is>
          <t>NTES</t>
        </is>
      </c>
      <c r="C296" t="inlineStr">
        <is>
          <t>2026-07-30</t>
        </is>
      </c>
      <c r="D296" t="n">
        <v>131.79</v>
      </c>
      <c r="E296" t="n">
        <v>54.8</v>
      </c>
      <c r="F296" t="n">
        <v>0.61</v>
      </c>
      <c r="G296" t="n">
        <v>12.81</v>
      </c>
      <c r="H296" t="n">
        <v>-15.63</v>
      </c>
      <c r="I296" t="n">
        <v>50</v>
      </c>
      <c r="J296" t="n">
        <v>85</v>
      </c>
      <c r="K296" t="n">
        <v>60</v>
      </c>
      <c r="L296" t="b">
        <v>0</v>
      </c>
      <c r="M296" t="b">
        <v>0</v>
      </c>
      <c r="N296" t="inlineStr">
        <is>
          <t>AVOID</t>
        </is>
      </c>
    </row>
    <row r="297">
      <c r="A297" t="n">
        <v>296</v>
      </c>
      <c r="B297" t="inlineStr">
        <is>
          <t>SLM</t>
        </is>
      </c>
      <c r="C297" t="inlineStr">
        <is>
          <t>2026-07-30</t>
        </is>
      </c>
      <c r="D297" t="n">
        <v>25.83</v>
      </c>
      <c r="E297" t="n">
        <v>59.16</v>
      </c>
      <c r="F297" t="n">
        <v>0.37</v>
      </c>
      <c r="G297" t="n">
        <v>12.59</v>
      </c>
      <c r="H297" t="n">
        <v>-20.27</v>
      </c>
      <c r="I297" t="n">
        <v>50</v>
      </c>
      <c r="J297" t="n">
        <v>85</v>
      </c>
      <c r="K297" t="n">
        <v>60</v>
      </c>
      <c r="L297" t="b">
        <v>0</v>
      </c>
      <c r="M297" t="b">
        <v>0</v>
      </c>
      <c r="N297" t="inlineStr">
        <is>
          <t>AVOID</t>
        </is>
      </c>
    </row>
    <row r="298">
      <c r="A298" t="n">
        <v>297</v>
      </c>
      <c r="B298" t="inlineStr">
        <is>
          <t>SFIX</t>
        </is>
      </c>
      <c r="C298" t="inlineStr">
        <is>
          <t>2026-07-30</t>
        </is>
      </c>
      <c r="D298" t="n">
        <v>4.09</v>
      </c>
      <c r="E298" t="n">
        <v>63.95</v>
      </c>
      <c r="F298" t="n">
        <v>0.6</v>
      </c>
      <c r="G298" t="n">
        <v>12.36</v>
      </c>
      <c r="H298" t="n">
        <v>-29.85</v>
      </c>
      <c r="I298" t="n">
        <v>50</v>
      </c>
      <c r="J298" t="n">
        <v>70</v>
      </c>
      <c r="K298" t="n">
        <v>60</v>
      </c>
      <c r="L298" t="b">
        <v>0</v>
      </c>
      <c r="M298" t="b">
        <v>0</v>
      </c>
      <c r="N298" t="inlineStr">
        <is>
          <t>AVOID</t>
        </is>
      </c>
    </row>
    <row r="299">
      <c r="A299" t="n">
        <v>298</v>
      </c>
      <c r="B299" t="inlineStr">
        <is>
          <t>SSNC</t>
        </is>
      </c>
      <c r="C299" t="inlineStr">
        <is>
          <t>2026-07-30</t>
        </is>
      </c>
      <c r="D299" t="n">
        <v>76.95</v>
      </c>
      <c r="E299" t="n">
        <v>72.62</v>
      </c>
      <c r="F299" t="n">
        <v>0.54</v>
      </c>
      <c r="G299" t="n">
        <v>11.48</v>
      </c>
      <c r="H299" t="n">
        <v>-13.66</v>
      </c>
      <c r="I299" t="n">
        <v>50</v>
      </c>
      <c r="J299" t="n">
        <v>45</v>
      </c>
      <c r="K299" t="n">
        <v>60</v>
      </c>
      <c r="L299" t="b">
        <v>0</v>
      </c>
      <c r="M299" t="b">
        <v>0</v>
      </c>
      <c r="N299" t="inlineStr">
        <is>
          <t>AVOID</t>
        </is>
      </c>
    </row>
    <row r="300">
      <c r="A300" t="n">
        <v>299</v>
      </c>
      <c r="B300" t="inlineStr">
        <is>
          <t>STLD</t>
        </is>
      </c>
      <c r="C300" t="inlineStr">
        <is>
          <t>2026-07-30</t>
        </is>
      </c>
      <c r="D300" t="n">
        <v>253.47</v>
      </c>
      <c r="E300" t="n">
        <v>73.8</v>
      </c>
      <c r="F300" t="n">
        <v>0.44</v>
      </c>
      <c r="G300" t="n">
        <v>11.1</v>
      </c>
      <c r="H300" t="n">
        <v>-10.16</v>
      </c>
      <c r="I300" t="n">
        <v>50</v>
      </c>
      <c r="J300" t="n">
        <v>45</v>
      </c>
      <c r="K300" t="n">
        <v>60</v>
      </c>
      <c r="L300" t="b">
        <v>0</v>
      </c>
      <c r="M300" t="b">
        <v>0</v>
      </c>
      <c r="N300" t="inlineStr">
        <is>
          <t>AVOID</t>
        </is>
      </c>
    </row>
    <row r="301">
      <c r="A301" t="n">
        <v>300</v>
      </c>
      <c r="B301" t="inlineStr">
        <is>
          <t>CRON</t>
        </is>
      </c>
      <c r="C301" t="inlineStr">
        <is>
          <t>2026-07-30</t>
        </is>
      </c>
      <c r="D301" t="n">
        <v>2.9</v>
      </c>
      <c r="E301" t="n">
        <v>74.19</v>
      </c>
      <c r="F301" t="n">
        <v>0.8</v>
      </c>
      <c r="G301" t="n">
        <v>8.609999999999999</v>
      </c>
      <c r="H301" t="n">
        <v>-11.31</v>
      </c>
      <c r="I301" t="n">
        <v>60</v>
      </c>
      <c r="J301" t="n">
        <v>45</v>
      </c>
      <c r="K301" t="n">
        <v>60</v>
      </c>
      <c r="L301" t="b">
        <v>0</v>
      </c>
      <c r="M301" t="b">
        <v>0</v>
      </c>
      <c r="N301" t="inlineStr">
        <is>
          <t>AVOID</t>
        </is>
      </c>
    </row>
    <row r="302">
      <c r="A302" t="n">
        <v>301</v>
      </c>
      <c r="B302" t="inlineStr">
        <is>
          <t>EXLS</t>
        </is>
      </c>
      <c r="C302" t="inlineStr">
        <is>
          <t>2026-07-30</t>
        </is>
      </c>
      <c r="D302" t="n">
        <v>34.45</v>
      </c>
      <c r="E302" t="n">
        <v>71.87</v>
      </c>
      <c r="F302" t="n">
        <v>1.24</v>
      </c>
      <c r="G302" t="n">
        <v>8.06</v>
      </c>
      <c r="H302" t="n">
        <v>-23.41</v>
      </c>
      <c r="I302" t="n">
        <v>50</v>
      </c>
      <c r="J302" t="n">
        <v>60</v>
      </c>
      <c r="K302" t="n">
        <v>60</v>
      </c>
      <c r="L302" t="b">
        <v>0</v>
      </c>
      <c r="M302" t="b">
        <v>0</v>
      </c>
      <c r="N302" t="inlineStr">
        <is>
          <t>AVOID</t>
        </is>
      </c>
    </row>
    <row r="303">
      <c r="A303" t="n">
        <v>302</v>
      </c>
      <c r="B303" t="inlineStr">
        <is>
          <t>URBN</t>
        </is>
      </c>
      <c r="C303" t="inlineStr">
        <is>
          <t>2026-07-30</t>
        </is>
      </c>
      <c r="D303" t="n">
        <v>75.70999999999999</v>
      </c>
      <c r="E303" t="n">
        <v>65.5</v>
      </c>
      <c r="F303" t="n">
        <v>0.36</v>
      </c>
      <c r="G303" t="n">
        <v>7.63</v>
      </c>
      <c r="H303" t="n">
        <v>-8.449999999999999</v>
      </c>
      <c r="I303" t="n">
        <v>50</v>
      </c>
      <c r="J303" t="n">
        <v>45</v>
      </c>
      <c r="K303" t="n">
        <v>60</v>
      </c>
      <c r="L303" t="b">
        <v>0</v>
      </c>
      <c r="M303" t="b">
        <v>0</v>
      </c>
      <c r="N303" t="inlineStr">
        <is>
          <t>AVOID</t>
        </is>
      </c>
    </row>
    <row r="304">
      <c r="A304" t="n">
        <v>303</v>
      </c>
      <c r="B304" t="inlineStr">
        <is>
          <t>VRSN</t>
        </is>
      </c>
      <c r="C304" t="inlineStr">
        <is>
          <t>2026-07-30</t>
        </is>
      </c>
      <c r="D304" t="n">
        <v>286.73</v>
      </c>
      <c r="E304" t="n">
        <v>61.8</v>
      </c>
      <c r="F304" t="n">
        <v>0.53</v>
      </c>
      <c r="G304" t="n">
        <v>7.01</v>
      </c>
      <c r="H304" t="n">
        <v>-7.51</v>
      </c>
      <c r="I304" t="n">
        <v>50</v>
      </c>
      <c r="J304" t="n">
        <v>70</v>
      </c>
      <c r="K304" t="n">
        <v>60</v>
      </c>
      <c r="L304" t="b">
        <v>0</v>
      </c>
      <c r="M304" t="b">
        <v>0</v>
      </c>
      <c r="N304" t="inlineStr">
        <is>
          <t>AVOID</t>
        </is>
      </c>
    </row>
    <row r="305">
      <c r="A305" t="n">
        <v>304</v>
      </c>
      <c r="B305" t="inlineStr">
        <is>
          <t>JD</t>
        </is>
      </c>
      <c r="C305" t="inlineStr">
        <is>
          <t>2026-07-30</t>
        </is>
      </c>
      <c r="D305" t="n">
        <v>32.25</v>
      </c>
      <c r="E305" t="n">
        <v>88.43000000000001</v>
      </c>
      <c r="F305" t="n">
        <v>0.84</v>
      </c>
      <c r="G305" t="n">
        <v>6.37</v>
      </c>
      <c r="H305" t="n">
        <v>-7.66</v>
      </c>
      <c r="I305" t="n">
        <v>50</v>
      </c>
      <c r="J305" t="n">
        <v>45</v>
      </c>
      <c r="K305" t="n">
        <v>60</v>
      </c>
      <c r="L305" t="b">
        <v>0</v>
      </c>
      <c r="M305" t="b">
        <v>0</v>
      </c>
      <c r="N305" t="inlineStr">
        <is>
          <t>AVOID</t>
        </is>
      </c>
    </row>
    <row r="306">
      <c r="A306" t="n">
        <v>305</v>
      </c>
      <c r="B306" t="inlineStr">
        <is>
          <t>AVT</t>
        </is>
      </c>
      <c r="C306" t="inlineStr">
        <is>
          <t>2026-07-30</t>
        </is>
      </c>
      <c r="D306" t="n">
        <v>87.36</v>
      </c>
      <c r="E306" t="n">
        <v>50.54</v>
      </c>
      <c r="F306" t="n">
        <v>0.36</v>
      </c>
      <c r="G306" t="n">
        <v>6.28</v>
      </c>
      <c r="H306" t="n">
        <v>-5.99</v>
      </c>
      <c r="I306" t="n">
        <v>50</v>
      </c>
      <c r="J306" t="n">
        <v>85</v>
      </c>
      <c r="K306" t="n">
        <v>60</v>
      </c>
      <c r="L306" t="b">
        <v>0</v>
      </c>
      <c r="M306" t="b">
        <v>0</v>
      </c>
      <c r="N306" t="inlineStr">
        <is>
          <t>AVOID</t>
        </is>
      </c>
    </row>
    <row r="307">
      <c r="A307" t="n">
        <v>306</v>
      </c>
      <c r="B307" t="inlineStr">
        <is>
          <t>FELE</t>
        </is>
      </c>
      <c r="C307" t="inlineStr">
        <is>
          <t>2026-07-30</t>
        </is>
      </c>
      <c r="D307" t="n">
        <v>103.74</v>
      </c>
      <c r="E307" t="n">
        <v>50.25</v>
      </c>
      <c r="F307" t="n">
        <v>0.44</v>
      </c>
      <c r="G307" t="n">
        <v>3.83</v>
      </c>
      <c r="H307" t="n">
        <v>-5.45</v>
      </c>
      <c r="I307" t="n">
        <v>50</v>
      </c>
      <c r="J307" t="n">
        <v>85</v>
      </c>
      <c r="K307" t="n">
        <v>60</v>
      </c>
      <c r="L307" t="b">
        <v>0</v>
      </c>
      <c r="M307" t="b">
        <v>0</v>
      </c>
      <c r="N307" t="inlineStr">
        <is>
          <t>AVOID</t>
        </is>
      </c>
    </row>
    <row r="308">
      <c r="A308" t="n">
        <v>307</v>
      </c>
      <c r="B308" t="inlineStr">
        <is>
          <t>NDAQ</t>
        </is>
      </c>
      <c r="C308" t="inlineStr">
        <is>
          <t>2026-07-30</t>
        </is>
      </c>
      <c r="D308" t="n">
        <v>94.69</v>
      </c>
      <c r="E308" t="n">
        <v>65.75</v>
      </c>
      <c r="F308" t="n">
        <v>0.5600000000000001</v>
      </c>
      <c r="G308" t="n">
        <v>3.39</v>
      </c>
      <c r="H308" t="n">
        <v>-5.59</v>
      </c>
      <c r="I308" t="n">
        <v>50</v>
      </c>
      <c r="J308" t="n">
        <v>45</v>
      </c>
      <c r="K308" t="n">
        <v>60</v>
      </c>
      <c r="L308" t="b">
        <v>0</v>
      </c>
      <c r="M308" t="b">
        <v>0</v>
      </c>
      <c r="N308" t="inlineStr">
        <is>
          <t>AVOID</t>
        </is>
      </c>
    </row>
    <row r="309">
      <c r="A309" t="n">
        <v>308</v>
      </c>
      <c r="B309" t="inlineStr">
        <is>
          <t>SABR</t>
        </is>
      </c>
      <c r="C309" t="inlineStr">
        <is>
          <t>2026-07-30</t>
        </is>
      </c>
      <c r="D309" t="n">
        <v>1.88</v>
      </c>
      <c r="E309" t="n">
        <v>51.88</v>
      </c>
      <c r="F309" t="n">
        <v>0.6899999999999999</v>
      </c>
      <c r="G309" t="n">
        <v>2.8</v>
      </c>
      <c r="H309" t="n">
        <v>-38.72</v>
      </c>
      <c r="I309" t="n">
        <v>60</v>
      </c>
      <c r="J309" t="n">
        <v>85</v>
      </c>
      <c r="K309" t="n">
        <v>60</v>
      </c>
      <c r="L309" t="b">
        <v>0</v>
      </c>
      <c r="M309" t="b">
        <v>0</v>
      </c>
      <c r="N309" t="inlineStr">
        <is>
          <t>AVOID</t>
        </is>
      </c>
    </row>
    <row r="310">
      <c r="A310" t="n">
        <v>309</v>
      </c>
      <c r="B310" t="inlineStr">
        <is>
          <t>TTEK</t>
        </is>
      </c>
      <c r="C310" t="inlineStr">
        <is>
          <t>2026-07-30</t>
        </is>
      </c>
      <c r="D310" t="n">
        <v>32.72</v>
      </c>
      <c r="E310" t="n">
        <v>61.05</v>
      </c>
      <c r="F310" t="n">
        <v>1.42</v>
      </c>
      <c r="G310" t="n">
        <v>1.51</v>
      </c>
      <c r="H310" t="n">
        <v>-22.88</v>
      </c>
      <c r="I310" t="n">
        <v>50</v>
      </c>
      <c r="J310" t="n">
        <v>85</v>
      </c>
      <c r="K310" t="n">
        <v>60</v>
      </c>
      <c r="L310" t="b">
        <v>0</v>
      </c>
      <c r="M310" t="b">
        <v>0</v>
      </c>
      <c r="N310" t="inlineStr">
        <is>
          <t>AVOID</t>
        </is>
      </c>
    </row>
    <row r="311">
      <c r="A311" t="n">
        <v>310</v>
      </c>
      <c r="B311" t="inlineStr">
        <is>
          <t>ARCC</t>
        </is>
      </c>
      <c r="C311" t="inlineStr">
        <is>
          <t>2026-07-30</t>
        </is>
      </c>
      <c r="D311" t="n">
        <v>18.81</v>
      </c>
      <c r="E311" t="n">
        <v>50.58</v>
      </c>
      <c r="F311" t="n">
        <v>0.8100000000000001</v>
      </c>
      <c r="G311" t="n">
        <v>0.66</v>
      </c>
      <c r="H311" t="n">
        <v>-8.66</v>
      </c>
      <c r="I311" t="n">
        <v>50</v>
      </c>
      <c r="J311" t="n">
        <v>85</v>
      </c>
      <c r="K311" t="n">
        <v>60</v>
      </c>
      <c r="L311" t="b">
        <v>0</v>
      </c>
      <c r="M311" t="b">
        <v>0</v>
      </c>
      <c r="N311" t="inlineStr">
        <is>
          <t>AVOID</t>
        </is>
      </c>
    </row>
    <row r="312">
      <c r="A312" t="n">
        <v>311</v>
      </c>
      <c r="B312" t="inlineStr">
        <is>
          <t>VG</t>
        </is>
      </c>
      <c r="C312" t="inlineStr">
        <is>
          <t>2026-07-30</t>
        </is>
      </c>
      <c r="D312" t="n">
        <v>13.12</v>
      </c>
      <c r="E312" t="n">
        <v>55.08</v>
      </c>
      <c r="F312" t="n">
        <v>0.38</v>
      </c>
      <c r="G312" t="n">
        <v>-0.96</v>
      </c>
      <c r="H312" t="n">
        <v>-25.03</v>
      </c>
      <c r="I312" t="n">
        <v>60</v>
      </c>
      <c r="J312" t="n">
        <v>85</v>
      </c>
      <c r="K312" t="n">
        <v>60</v>
      </c>
      <c r="L312" t="b">
        <v>0</v>
      </c>
      <c r="M312" t="b">
        <v>0</v>
      </c>
      <c r="N312" t="inlineStr">
        <is>
          <t>AVOID</t>
        </is>
      </c>
    </row>
    <row r="313">
      <c r="A313" t="n">
        <v>312</v>
      </c>
      <c r="B313" t="inlineStr">
        <is>
          <t>GPRE</t>
        </is>
      </c>
      <c r="C313" t="inlineStr">
        <is>
          <t>2026-07-30</t>
        </is>
      </c>
      <c r="D313" t="n">
        <v>17.16</v>
      </c>
      <c r="E313" t="n">
        <v>51.5</v>
      </c>
      <c r="F313" t="n">
        <v>0.65</v>
      </c>
      <c r="G313" t="n">
        <v>-1.27</v>
      </c>
      <c r="H313" t="n">
        <v>-10.76</v>
      </c>
      <c r="I313" t="n">
        <v>60</v>
      </c>
      <c r="J313" t="n">
        <v>85</v>
      </c>
      <c r="K313" t="n">
        <v>60</v>
      </c>
      <c r="L313" t="b">
        <v>0</v>
      </c>
      <c r="M313" t="b">
        <v>0</v>
      </c>
      <c r="N313" t="inlineStr">
        <is>
          <t>AVOID</t>
        </is>
      </c>
    </row>
    <row r="314">
      <c r="A314" t="n">
        <v>313</v>
      </c>
      <c r="B314" t="inlineStr">
        <is>
          <t>CARG</t>
        </is>
      </c>
      <c r="C314" t="inlineStr">
        <is>
          <t>2026-07-30</t>
        </is>
      </c>
      <c r="D314" t="n">
        <v>35.64</v>
      </c>
      <c r="E314" t="n">
        <v>56.28</v>
      </c>
      <c r="F314" t="n">
        <v>0.39</v>
      </c>
      <c r="G314" t="n">
        <v>-2.25</v>
      </c>
      <c r="H314" t="n">
        <v>-8.69</v>
      </c>
      <c r="I314" t="n">
        <v>50</v>
      </c>
      <c r="J314" t="n">
        <v>85</v>
      </c>
      <c r="K314" t="n">
        <v>60</v>
      </c>
      <c r="L314" t="b">
        <v>0</v>
      </c>
      <c r="M314" t="b">
        <v>0</v>
      </c>
      <c r="N314" t="inlineStr">
        <is>
          <t>AVOID</t>
        </is>
      </c>
    </row>
    <row r="315">
      <c r="A315" t="n">
        <v>314</v>
      </c>
      <c r="B315" t="inlineStr">
        <is>
          <t>AXGN</t>
        </is>
      </c>
      <c r="C315" t="inlineStr">
        <is>
          <t>2026-07-30</t>
        </is>
      </c>
      <c r="D315" t="n">
        <v>42.1</v>
      </c>
      <c r="E315" t="n">
        <v>59.2</v>
      </c>
      <c r="F315" t="n">
        <v>0.61</v>
      </c>
      <c r="G315" t="n">
        <v>-2.56</v>
      </c>
      <c r="H315" t="n">
        <v>-8.869999999999999</v>
      </c>
      <c r="I315" t="n">
        <v>50</v>
      </c>
      <c r="J315" t="n">
        <v>85</v>
      </c>
      <c r="K315" t="n">
        <v>60</v>
      </c>
      <c r="L315" t="b">
        <v>0</v>
      </c>
      <c r="M315" t="b">
        <v>0</v>
      </c>
      <c r="N315" t="inlineStr">
        <is>
          <t>AVOID</t>
        </is>
      </c>
    </row>
    <row r="316">
      <c r="A316" t="n">
        <v>315</v>
      </c>
      <c r="B316" t="inlineStr">
        <is>
          <t>FANG</t>
        </is>
      </c>
      <c r="C316" t="inlineStr">
        <is>
          <t>2026-07-30</t>
        </is>
      </c>
      <c r="D316" t="n">
        <v>198.25</v>
      </c>
      <c r="E316" t="n">
        <v>64.56999999999999</v>
      </c>
      <c r="F316" t="n">
        <v>0.37</v>
      </c>
      <c r="G316" t="n">
        <v>-3.06</v>
      </c>
      <c r="H316" t="n">
        <v>-6.72</v>
      </c>
      <c r="I316" t="n">
        <v>50</v>
      </c>
      <c r="J316" t="n">
        <v>70</v>
      </c>
      <c r="K316" t="n">
        <v>60</v>
      </c>
      <c r="L316" t="b">
        <v>0</v>
      </c>
      <c r="M316" t="b">
        <v>0</v>
      </c>
      <c r="N316" t="inlineStr">
        <is>
          <t>AVOID</t>
        </is>
      </c>
    </row>
    <row r="317">
      <c r="A317" t="n">
        <v>316</v>
      </c>
      <c r="B317" t="inlineStr">
        <is>
          <t>PRLD</t>
        </is>
      </c>
      <c r="C317" t="inlineStr">
        <is>
          <t>2026-07-30</t>
        </is>
      </c>
      <c r="D317" t="n">
        <v>4.96</v>
      </c>
      <c r="E317" t="n">
        <v>53.38</v>
      </c>
      <c r="F317" t="n">
        <v>0.45</v>
      </c>
      <c r="G317" t="n">
        <v>-5.16</v>
      </c>
      <c r="H317" t="n">
        <v>-10.14</v>
      </c>
      <c r="I317" t="n">
        <v>60</v>
      </c>
      <c r="J317" t="n">
        <v>70</v>
      </c>
      <c r="K317" t="n">
        <v>60</v>
      </c>
      <c r="L317" t="b">
        <v>0</v>
      </c>
      <c r="M317" t="b">
        <v>0</v>
      </c>
      <c r="N317" t="inlineStr">
        <is>
          <t>AVOID</t>
        </is>
      </c>
    </row>
    <row r="318">
      <c r="A318" t="n">
        <v>317</v>
      </c>
      <c r="B318" t="inlineStr">
        <is>
          <t>COKE</t>
        </is>
      </c>
      <c r="C318" t="inlineStr">
        <is>
          <t>2026-07-30</t>
        </is>
      </c>
      <c r="D318" t="n">
        <v>188.31</v>
      </c>
      <c r="E318" t="n">
        <v>60.91</v>
      </c>
      <c r="F318" t="n">
        <v>0.33</v>
      </c>
      <c r="G318" t="n">
        <v>-8.039999999999999</v>
      </c>
      <c r="H318" t="n">
        <v>-12.95</v>
      </c>
      <c r="I318" t="n">
        <v>60</v>
      </c>
      <c r="J318" t="n">
        <v>85</v>
      </c>
      <c r="K318" t="n">
        <v>60</v>
      </c>
      <c r="L318" t="b">
        <v>0</v>
      </c>
      <c r="M318" t="b">
        <v>0</v>
      </c>
      <c r="N318" t="inlineStr">
        <is>
          <t>AVOID</t>
        </is>
      </c>
    </row>
    <row r="319">
      <c r="A319" t="n">
        <v>318</v>
      </c>
      <c r="B319" t="inlineStr">
        <is>
          <t>NKTR</t>
        </is>
      </c>
      <c r="C319" t="inlineStr">
        <is>
          <t>2026-07-30</t>
        </is>
      </c>
      <c r="D319" t="n">
        <v>70.37</v>
      </c>
      <c r="E319" t="n">
        <v>50.04</v>
      </c>
      <c r="F319" t="n">
        <v>0.59</v>
      </c>
      <c r="G319" t="n">
        <v>-17.25</v>
      </c>
      <c r="H319" t="n">
        <v>-29.87</v>
      </c>
      <c r="I319" t="n">
        <v>60</v>
      </c>
      <c r="J319" t="n">
        <v>85</v>
      </c>
      <c r="K319" t="n">
        <v>60</v>
      </c>
      <c r="L319" t="b">
        <v>0</v>
      </c>
      <c r="M319" t="b">
        <v>0</v>
      </c>
      <c r="N319" t="inlineStr">
        <is>
          <t>AVOID</t>
        </is>
      </c>
    </row>
    <row r="320">
      <c r="A320" t="n">
        <v>319</v>
      </c>
      <c r="B320" t="inlineStr">
        <is>
          <t>ACMR</t>
        </is>
      </c>
      <c r="C320" t="inlineStr">
        <is>
          <t>2026-07-30</t>
        </is>
      </c>
      <c r="D320" t="n">
        <v>77.47</v>
      </c>
      <c r="E320" t="n">
        <v>34.99</v>
      </c>
      <c r="F320" t="n">
        <v>0.9399999999999999</v>
      </c>
      <c r="G320" t="n">
        <v>49.88</v>
      </c>
      <c r="H320" t="n">
        <v>-38.94</v>
      </c>
      <c r="I320" t="n">
        <v>25</v>
      </c>
      <c r="J320" t="n">
        <v>25</v>
      </c>
      <c r="K320" t="n">
        <v>55</v>
      </c>
      <c r="L320" t="b">
        <v>0</v>
      </c>
      <c r="M320" t="b">
        <v>0</v>
      </c>
      <c r="N320" t="inlineStr">
        <is>
          <t>AVOID</t>
        </is>
      </c>
    </row>
    <row r="321">
      <c r="A321" t="n">
        <v>320</v>
      </c>
      <c r="B321" t="inlineStr">
        <is>
          <t>CLPT</t>
        </is>
      </c>
      <c r="C321" t="inlineStr">
        <is>
          <t>2026-07-30</t>
        </is>
      </c>
      <c r="D321" t="n">
        <v>14.46</v>
      </c>
      <c r="E321" t="n">
        <v>22.56</v>
      </c>
      <c r="F321" t="n">
        <v>0.62</v>
      </c>
      <c r="G321" t="n">
        <v>29.34</v>
      </c>
      <c r="H321" t="n">
        <v>-51.15</v>
      </c>
      <c r="I321" t="n">
        <v>35</v>
      </c>
      <c r="J321" t="n">
        <v>25</v>
      </c>
      <c r="K321" t="n">
        <v>55</v>
      </c>
      <c r="L321" t="b">
        <v>0</v>
      </c>
      <c r="M321" t="b">
        <v>0</v>
      </c>
      <c r="N321" t="inlineStr">
        <is>
          <t>AVOID</t>
        </is>
      </c>
    </row>
    <row r="322">
      <c r="A322" t="n">
        <v>321</v>
      </c>
      <c r="B322" t="inlineStr">
        <is>
          <t>WDAY</t>
        </is>
      </c>
      <c r="C322" t="inlineStr">
        <is>
          <t>2026-07-30</t>
        </is>
      </c>
      <c r="D322" t="n">
        <v>157.36</v>
      </c>
      <c r="E322" t="n">
        <v>60.25</v>
      </c>
      <c r="F322" t="n">
        <v>1.1</v>
      </c>
      <c r="G322" t="n">
        <v>28.56</v>
      </c>
      <c r="H322" t="n">
        <v>-36.47</v>
      </c>
      <c r="I322" t="n">
        <v>35</v>
      </c>
      <c r="J322" t="n">
        <v>60</v>
      </c>
      <c r="K322" t="n">
        <v>55</v>
      </c>
      <c r="L322" t="b">
        <v>0</v>
      </c>
      <c r="M322" t="b">
        <v>0</v>
      </c>
      <c r="N322" t="inlineStr">
        <is>
          <t>AVOID</t>
        </is>
      </c>
    </row>
    <row r="323">
      <c r="A323" t="n">
        <v>322</v>
      </c>
      <c r="B323" t="inlineStr">
        <is>
          <t>SDGR</t>
        </is>
      </c>
      <c r="C323" t="inlineStr">
        <is>
          <t>2026-07-30</t>
        </is>
      </c>
      <c r="D323" t="n">
        <v>15.37</v>
      </c>
      <c r="E323" t="n">
        <v>30.95</v>
      </c>
      <c r="F323" t="n">
        <v>0.57</v>
      </c>
      <c r="G323" t="n">
        <v>28.51</v>
      </c>
      <c r="H323" t="n">
        <v>-31.75</v>
      </c>
      <c r="I323" t="n">
        <v>35</v>
      </c>
      <c r="J323" t="n">
        <v>60</v>
      </c>
      <c r="K323" t="n">
        <v>55</v>
      </c>
      <c r="L323" t="b">
        <v>0</v>
      </c>
      <c r="M323" t="b">
        <v>0</v>
      </c>
      <c r="N323" t="inlineStr">
        <is>
          <t>AVOID</t>
        </is>
      </c>
    </row>
    <row r="324">
      <c r="A324" t="n">
        <v>323</v>
      </c>
      <c r="B324" t="inlineStr">
        <is>
          <t>APPN</t>
        </is>
      </c>
      <c r="C324" t="inlineStr">
        <is>
          <t>2026-07-30</t>
        </is>
      </c>
      <c r="D324" t="n">
        <v>26.51</v>
      </c>
      <c r="E324" t="n">
        <v>53.64</v>
      </c>
      <c r="F324" t="n">
        <v>0.86</v>
      </c>
      <c r="G324" t="n">
        <v>27.54</v>
      </c>
      <c r="H324" t="n">
        <v>-41.9</v>
      </c>
      <c r="I324" t="n">
        <v>35</v>
      </c>
      <c r="J324" t="n">
        <v>45</v>
      </c>
      <c r="K324" t="n">
        <v>55</v>
      </c>
      <c r="L324" t="b">
        <v>0</v>
      </c>
      <c r="M324" t="b">
        <v>0</v>
      </c>
      <c r="N324" t="inlineStr">
        <is>
          <t>AVOID</t>
        </is>
      </c>
    </row>
    <row r="325">
      <c r="A325" t="n">
        <v>324</v>
      </c>
      <c r="B325" t="inlineStr">
        <is>
          <t>STX</t>
        </is>
      </c>
      <c r="C325" t="inlineStr">
        <is>
          <t>2026-07-30</t>
        </is>
      </c>
      <c r="D325" t="n">
        <v>848.64</v>
      </c>
      <c r="E325" t="n">
        <v>45.14</v>
      </c>
      <c r="F325" t="n">
        <v>1.06</v>
      </c>
      <c r="G325" t="n">
        <v>26.07</v>
      </c>
      <c r="H325" t="n">
        <v>-22.38</v>
      </c>
      <c r="I325" t="n">
        <v>35</v>
      </c>
      <c r="J325" t="n">
        <v>80</v>
      </c>
      <c r="K325" t="n">
        <v>55</v>
      </c>
      <c r="L325" t="b">
        <v>0</v>
      </c>
      <c r="M325" t="b">
        <v>0</v>
      </c>
      <c r="N325" t="inlineStr">
        <is>
          <t>AVOID</t>
        </is>
      </c>
    </row>
    <row r="326">
      <c r="A326" t="n">
        <v>325</v>
      </c>
      <c r="B326" t="inlineStr">
        <is>
          <t>AMAT</t>
        </is>
      </c>
      <c r="C326" t="inlineStr">
        <is>
          <t>2026-07-30</t>
        </is>
      </c>
      <c r="D326" t="n">
        <v>496.37</v>
      </c>
      <c r="E326" t="n">
        <v>35.34</v>
      </c>
      <c r="F326" t="n">
        <v>0.86</v>
      </c>
      <c r="G326" t="n">
        <v>25.98</v>
      </c>
      <c r="H326" t="n">
        <v>-31.35</v>
      </c>
      <c r="I326" t="n">
        <v>35</v>
      </c>
      <c r="J326" t="n">
        <v>25</v>
      </c>
      <c r="K326" t="n">
        <v>55</v>
      </c>
      <c r="L326" t="b">
        <v>0</v>
      </c>
      <c r="M326" t="b">
        <v>0</v>
      </c>
      <c r="N326" t="inlineStr">
        <is>
          <t>AVOID</t>
        </is>
      </c>
    </row>
    <row r="327">
      <c r="A327" t="n">
        <v>326</v>
      </c>
      <c r="B327" t="inlineStr">
        <is>
          <t>MRNA</t>
        </is>
      </c>
      <c r="C327" t="inlineStr">
        <is>
          <t>2026-07-30</t>
        </is>
      </c>
      <c r="D327" t="n">
        <v>57.33</v>
      </c>
      <c r="E327" t="n">
        <v>26.2</v>
      </c>
      <c r="F327" t="n">
        <v>0.42</v>
      </c>
      <c r="G327" t="n">
        <v>24.8</v>
      </c>
      <c r="H327" t="n">
        <v>-29.91</v>
      </c>
      <c r="I327" t="n">
        <v>35</v>
      </c>
      <c r="J327" t="n">
        <v>25</v>
      </c>
      <c r="K327" t="n">
        <v>55</v>
      </c>
      <c r="L327" t="b">
        <v>0</v>
      </c>
      <c r="M327" t="b">
        <v>0</v>
      </c>
      <c r="N327" t="inlineStr">
        <is>
          <t>AVOID</t>
        </is>
      </c>
    </row>
    <row r="328">
      <c r="A328" t="n">
        <v>327</v>
      </c>
      <c r="B328" t="inlineStr">
        <is>
          <t>WDC</t>
        </is>
      </c>
      <c r="C328" t="inlineStr">
        <is>
          <t>2026-07-30</t>
        </is>
      </c>
      <c r="D328" t="n">
        <v>533.73</v>
      </c>
      <c r="E328" t="n">
        <v>43.75</v>
      </c>
      <c r="F328" t="n">
        <v>0.93</v>
      </c>
      <c r="G328" t="n">
        <v>22.87</v>
      </c>
      <c r="H328" t="n">
        <v>-28.48</v>
      </c>
      <c r="I328" t="n">
        <v>35</v>
      </c>
      <c r="J328" t="n">
        <v>40</v>
      </c>
      <c r="K328" t="n">
        <v>55</v>
      </c>
      <c r="L328" t="b">
        <v>0</v>
      </c>
      <c r="M328" t="b">
        <v>0</v>
      </c>
      <c r="N328" t="inlineStr">
        <is>
          <t>AVOID</t>
        </is>
      </c>
    </row>
    <row r="329">
      <c r="A329" t="n">
        <v>328</v>
      </c>
      <c r="B329" t="inlineStr">
        <is>
          <t>MITK</t>
        </is>
      </c>
      <c r="C329" t="inlineStr">
        <is>
          <t>2026-07-30</t>
        </is>
      </c>
      <c r="D329" t="n">
        <v>17.13</v>
      </c>
      <c r="E329" t="n">
        <v>29.85</v>
      </c>
      <c r="F329" t="n">
        <v>0.43</v>
      </c>
      <c r="G329" t="n">
        <v>22.71</v>
      </c>
      <c r="H329" t="n">
        <v>-14.95</v>
      </c>
      <c r="I329" t="n">
        <v>35</v>
      </c>
      <c r="J329" t="n">
        <v>25</v>
      </c>
      <c r="K329" t="n">
        <v>55</v>
      </c>
      <c r="L329" t="b">
        <v>0</v>
      </c>
      <c r="M329" t="b">
        <v>0</v>
      </c>
      <c r="N329" t="inlineStr">
        <is>
          <t>AVOID</t>
        </is>
      </c>
    </row>
    <row r="330">
      <c r="A330" t="n">
        <v>329</v>
      </c>
      <c r="B330" t="inlineStr">
        <is>
          <t>VIRT</t>
        </is>
      </c>
      <c r="C330" t="inlineStr">
        <is>
          <t>2026-07-30</t>
        </is>
      </c>
      <c r="D330" t="n">
        <v>58.42</v>
      </c>
      <c r="E330" t="n">
        <v>30.01</v>
      </c>
      <c r="F330" t="n">
        <v>0.64</v>
      </c>
      <c r="G330" t="n">
        <v>18.21</v>
      </c>
      <c r="H330" t="n">
        <v>-12.57</v>
      </c>
      <c r="I330" t="n">
        <v>45</v>
      </c>
      <c r="J330" t="n">
        <v>45</v>
      </c>
      <c r="K330" t="n">
        <v>55</v>
      </c>
      <c r="L330" t="b">
        <v>0</v>
      </c>
      <c r="M330" t="b">
        <v>0</v>
      </c>
      <c r="N330" t="inlineStr">
        <is>
          <t>AVOID</t>
        </is>
      </c>
    </row>
    <row r="331">
      <c r="A331" t="n">
        <v>330</v>
      </c>
      <c r="B331" t="inlineStr">
        <is>
          <t>ALXO</t>
        </is>
      </c>
      <c r="C331" t="inlineStr">
        <is>
          <t>2026-07-30</t>
        </is>
      </c>
      <c r="D331" t="n">
        <v>1.98</v>
      </c>
      <c r="E331" t="n">
        <v>40</v>
      </c>
      <c r="F331" t="n">
        <v>0.25</v>
      </c>
      <c r="G331" t="n">
        <v>16.18</v>
      </c>
      <c r="H331" t="n">
        <v>-24.04</v>
      </c>
      <c r="I331" t="n">
        <v>45</v>
      </c>
      <c r="J331" t="n">
        <v>45</v>
      </c>
      <c r="K331" t="n">
        <v>55</v>
      </c>
      <c r="L331" t="b">
        <v>0</v>
      </c>
      <c r="M331" t="b">
        <v>0</v>
      </c>
      <c r="N331" t="inlineStr">
        <is>
          <t>AVOID</t>
        </is>
      </c>
    </row>
    <row r="332">
      <c r="A332" t="n">
        <v>331</v>
      </c>
      <c r="B332" t="inlineStr">
        <is>
          <t>BLBD</t>
        </is>
      </c>
      <c r="C332" t="inlineStr">
        <is>
          <t>2026-07-30</t>
        </is>
      </c>
      <c r="D332" t="n">
        <v>74.05</v>
      </c>
      <c r="E332" t="n">
        <v>40.53</v>
      </c>
      <c r="F332" t="n">
        <v>0.36</v>
      </c>
      <c r="G332" t="n">
        <v>15.5</v>
      </c>
      <c r="H332" t="n">
        <v>-9.140000000000001</v>
      </c>
      <c r="I332" t="n">
        <v>35</v>
      </c>
      <c r="J332" t="n">
        <v>25</v>
      </c>
      <c r="K332" t="n">
        <v>55</v>
      </c>
      <c r="L332" t="b">
        <v>0</v>
      </c>
      <c r="M332" t="b">
        <v>0</v>
      </c>
      <c r="N332" t="inlineStr">
        <is>
          <t>AVOID</t>
        </is>
      </c>
    </row>
    <row r="333">
      <c r="A333" t="n">
        <v>332</v>
      </c>
      <c r="B333" t="inlineStr">
        <is>
          <t>ILPT</t>
        </is>
      </c>
      <c r="C333" t="inlineStr">
        <is>
          <t>2026-07-30</t>
        </is>
      </c>
      <c r="D333" t="n">
        <v>8.48</v>
      </c>
      <c r="E333" t="n">
        <v>41.6</v>
      </c>
      <c r="F333" t="n">
        <v>0.66</v>
      </c>
      <c r="G333" t="n">
        <v>15.43</v>
      </c>
      <c r="H333" t="n">
        <v>-8.369999999999999</v>
      </c>
      <c r="I333" t="n">
        <v>35</v>
      </c>
      <c r="J333" t="n">
        <v>25</v>
      </c>
      <c r="K333" t="n">
        <v>55</v>
      </c>
      <c r="L333" t="b">
        <v>0</v>
      </c>
      <c r="M333" t="b">
        <v>0</v>
      </c>
      <c r="N333" t="inlineStr">
        <is>
          <t>AVOID</t>
        </is>
      </c>
    </row>
    <row r="334">
      <c r="A334" t="n">
        <v>333</v>
      </c>
      <c r="B334" t="inlineStr">
        <is>
          <t>CRTO</t>
        </is>
      </c>
      <c r="C334" t="inlineStr">
        <is>
          <t>2026-07-30</t>
        </is>
      </c>
      <c r="D334" t="n">
        <v>21.85</v>
      </c>
      <c r="E334" t="n">
        <v>42.97</v>
      </c>
      <c r="F334" t="n">
        <v>0.35</v>
      </c>
      <c r="G334" t="n">
        <v>15.39</v>
      </c>
      <c r="H334" t="n">
        <v>-11.98</v>
      </c>
      <c r="I334" t="n">
        <v>45</v>
      </c>
      <c r="J334" t="n">
        <v>60</v>
      </c>
      <c r="K334" t="n">
        <v>55</v>
      </c>
      <c r="L334" t="b">
        <v>0</v>
      </c>
      <c r="M334" t="b">
        <v>0</v>
      </c>
      <c r="N334" t="inlineStr">
        <is>
          <t>AVOID</t>
        </is>
      </c>
    </row>
    <row r="335">
      <c r="A335" t="n">
        <v>334</v>
      </c>
      <c r="B335" t="inlineStr">
        <is>
          <t>MIRM</t>
        </is>
      </c>
      <c r="C335" t="inlineStr">
        <is>
          <t>2026-07-30</t>
        </is>
      </c>
      <c r="D335" t="n">
        <v>111.1</v>
      </c>
      <c r="E335" t="n">
        <v>30.45</v>
      </c>
      <c r="F335" t="n">
        <v>0.54</v>
      </c>
      <c r="G335" t="n">
        <v>14.17</v>
      </c>
      <c r="H335" t="n">
        <v>-13.59</v>
      </c>
      <c r="I335" t="n">
        <v>45</v>
      </c>
      <c r="J335" t="n">
        <v>45</v>
      </c>
      <c r="K335" t="n">
        <v>55</v>
      </c>
      <c r="L335" t="b">
        <v>0</v>
      </c>
      <c r="M335" t="b">
        <v>0</v>
      </c>
      <c r="N335" t="inlineStr">
        <is>
          <t>AVOID</t>
        </is>
      </c>
    </row>
    <row r="336">
      <c r="A336" t="n">
        <v>335</v>
      </c>
      <c r="B336" t="inlineStr">
        <is>
          <t>AMCX</t>
        </is>
      </c>
      <c r="C336" t="inlineStr">
        <is>
          <t>2026-07-30</t>
        </is>
      </c>
      <c r="D336" t="n">
        <v>9.68</v>
      </c>
      <c r="E336" t="n">
        <v>46.57</v>
      </c>
      <c r="F336" t="n">
        <v>1.41</v>
      </c>
      <c r="G336" t="n">
        <v>14.02</v>
      </c>
      <c r="H336" t="n">
        <v>-11.19</v>
      </c>
      <c r="I336" t="n">
        <v>35</v>
      </c>
      <c r="J336" t="n">
        <v>65</v>
      </c>
      <c r="K336" t="n">
        <v>55</v>
      </c>
      <c r="L336" t="b">
        <v>0</v>
      </c>
      <c r="M336" t="b">
        <v>0</v>
      </c>
      <c r="N336" t="inlineStr">
        <is>
          <t>AVOID</t>
        </is>
      </c>
    </row>
    <row r="337">
      <c r="A337" t="n">
        <v>336</v>
      </c>
      <c r="B337" t="inlineStr">
        <is>
          <t>CALM</t>
        </is>
      </c>
      <c r="C337" t="inlineStr">
        <is>
          <t>2026-07-30</t>
        </is>
      </c>
      <c r="D337" t="n">
        <v>87.75</v>
      </c>
      <c r="E337" t="n">
        <v>48.92</v>
      </c>
      <c r="F337" t="n">
        <v>0.54</v>
      </c>
      <c r="G337" t="n">
        <v>13.58</v>
      </c>
      <c r="H337" t="n">
        <v>-22.66</v>
      </c>
      <c r="I337" t="n">
        <v>45</v>
      </c>
      <c r="J337" t="n">
        <v>85</v>
      </c>
      <c r="K337" t="n">
        <v>55</v>
      </c>
      <c r="L337" t="b">
        <v>0</v>
      </c>
      <c r="M337" t="b">
        <v>0</v>
      </c>
      <c r="N337" t="inlineStr">
        <is>
          <t>AVOID</t>
        </is>
      </c>
    </row>
    <row r="338">
      <c r="A338" t="n">
        <v>337</v>
      </c>
      <c r="B338" t="inlineStr">
        <is>
          <t>HRMY</t>
        </is>
      </c>
      <c r="C338" t="inlineStr">
        <is>
          <t>2026-07-30</t>
        </is>
      </c>
      <c r="D338" t="n">
        <v>35.29</v>
      </c>
      <c r="E338" t="n">
        <v>43.73</v>
      </c>
      <c r="F338" t="n">
        <v>0.25</v>
      </c>
      <c r="G338" t="n">
        <v>12.91</v>
      </c>
      <c r="H338" t="n">
        <v>-12.87</v>
      </c>
      <c r="I338" t="n">
        <v>45</v>
      </c>
      <c r="J338" t="n">
        <v>60</v>
      </c>
      <c r="K338" t="n">
        <v>55</v>
      </c>
      <c r="L338" t="b">
        <v>0</v>
      </c>
      <c r="M338" t="b">
        <v>0</v>
      </c>
      <c r="N338" t="inlineStr">
        <is>
          <t>AVOID</t>
        </is>
      </c>
    </row>
    <row r="339">
      <c r="A339" t="n">
        <v>338</v>
      </c>
      <c r="B339" t="inlineStr">
        <is>
          <t>OPCH</t>
        </is>
      </c>
      <c r="C339" t="inlineStr">
        <is>
          <t>2026-07-30</t>
        </is>
      </c>
      <c r="D339" t="n">
        <v>22.59</v>
      </c>
      <c r="E339" t="n">
        <v>57.89</v>
      </c>
      <c r="F339" t="n">
        <v>1.38</v>
      </c>
      <c r="G339" t="n">
        <v>11.12</v>
      </c>
      <c r="H339" t="n">
        <v>-38.26</v>
      </c>
      <c r="I339" t="n">
        <v>35</v>
      </c>
      <c r="J339" t="n">
        <v>60</v>
      </c>
      <c r="K339" t="n">
        <v>55</v>
      </c>
      <c r="L339" t="b">
        <v>0</v>
      </c>
      <c r="M339" t="b">
        <v>0</v>
      </c>
      <c r="N339" t="inlineStr">
        <is>
          <t>AVOID</t>
        </is>
      </c>
    </row>
    <row r="340">
      <c r="A340" t="n">
        <v>339</v>
      </c>
      <c r="B340" t="inlineStr">
        <is>
          <t>ACHC</t>
        </is>
      </c>
      <c r="C340" t="inlineStr">
        <is>
          <t>2026-07-30</t>
        </is>
      </c>
      <c r="D340" t="n">
        <v>28.59</v>
      </c>
      <c r="E340" t="n">
        <v>42.01</v>
      </c>
      <c r="F340" t="n">
        <v>0.54</v>
      </c>
      <c r="G340" t="n">
        <v>10.41</v>
      </c>
      <c r="H340" t="n">
        <v>-19.7</v>
      </c>
      <c r="I340" t="n">
        <v>45</v>
      </c>
      <c r="J340" t="n">
        <v>45</v>
      </c>
      <c r="K340" t="n">
        <v>55</v>
      </c>
      <c r="L340" t="b">
        <v>0</v>
      </c>
      <c r="M340" t="b">
        <v>0</v>
      </c>
      <c r="N340" t="inlineStr">
        <is>
          <t>AVOID</t>
        </is>
      </c>
    </row>
    <row r="341">
      <c r="A341" t="n">
        <v>340</v>
      </c>
      <c r="B341" t="inlineStr">
        <is>
          <t>EBAY</t>
        </is>
      </c>
      <c r="C341" t="inlineStr">
        <is>
          <t>2026-07-30</t>
        </is>
      </c>
      <c r="D341" t="n">
        <v>112.57</v>
      </c>
      <c r="E341" t="n">
        <v>41.69</v>
      </c>
      <c r="F341" t="n">
        <v>0.44</v>
      </c>
      <c r="G341" t="n">
        <v>9.09</v>
      </c>
      <c r="H341" t="n">
        <v>-5.11</v>
      </c>
      <c r="I341" t="n">
        <v>45</v>
      </c>
      <c r="J341" t="n">
        <v>60</v>
      </c>
      <c r="K341" t="n">
        <v>55</v>
      </c>
      <c r="L341" t="b">
        <v>0</v>
      </c>
      <c r="M341" t="b">
        <v>0</v>
      </c>
      <c r="N341" t="inlineStr">
        <is>
          <t>AVOID</t>
        </is>
      </c>
    </row>
    <row r="342">
      <c r="A342" t="n">
        <v>341</v>
      </c>
      <c r="B342" t="inlineStr">
        <is>
          <t>CSTL</t>
        </is>
      </c>
      <c r="C342" t="inlineStr">
        <is>
          <t>2026-07-30</t>
        </is>
      </c>
      <c r="D342" t="n">
        <v>26.53</v>
      </c>
      <c r="E342" t="n">
        <v>67.26000000000001</v>
      </c>
      <c r="F342" t="n">
        <v>1.5</v>
      </c>
      <c r="G342" t="n">
        <v>8.33</v>
      </c>
      <c r="H342" t="n">
        <v>-38.36</v>
      </c>
      <c r="I342" t="n">
        <v>35</v>
      </c>
      <c r="J342" t="n">
        <v>35</v>
      </c>
      <c r="K342" t="n">
        <v>55</v>
      </c>
      <c r="L342" t="b">
        <v>0</v>
      </c>
      <c r="M342" t="b">
        <v>0</v>
      </c>
      <c r="N342" t="inlineStr">
        <is>
          <t>AVOID</t>
        </is>
      </c>
    </row>
    <row r="343">
      <c r="A343" t="n">
        <v>342</v>
      </c>
      <c r="B343" t="inlineStr">
        <is>
          <t>HCSG</t>
        </is>
      </c>
      <c r="C343" t="inlineStr">
        <is>
          <t>2026-07-30</t>
        </is>
      </c>
      <c r="D343" t="n">
        <v>23.11</v>
      </c>
      <c r="E343" t="n">
        <v>44.79</v>
      </c>
      <c r="F343" t="n">
        <v>0.5</v>
      </c>
      <c r="G343" t="n">
        <v>7.96</v>
      </c>
      <c r="H343" t="n">
        <v>-8.67</v>
      </c>
      <c r="I343" t="n">
        <v>45</v>
      </c>
      <c r="J343" t="n">
        <v>45</v>
      </c>
      <c r="K343" t="n">
        <v>55</v>
      </c>
      <c r="L343" t="b">
        <v>0</v>
      </c>
      <c r="M343" t="b">
        <v>0</v>
      </c>
      <c r="N343" t="inlineStr">
        <is>
          <t>AVOID</t>
        </is>
      </c>
    </row>
    <row r="344">
      <c r="A344" t="n">
        <v>343</v>
      </c>
      <c r="B344" t="inlineStr">
        <is>
          <t>CINF</t>
        </is>
      </c>
      <c r="C344" t="inlineStr">
        <is>
          <t>2026-07-30</t>
        </is>
      </c>
      <c r="D344" t="n">
        <v>175.3</v>
      </c>
      <c r="E344" t="n">
        <v>44.73</v>
      </c>
      <c r="F344" t="n">
        <v>0.47</v>
      </c>
      <c r="G344" t="n">
        <v>7.74</v>
      </c>
      <c r="H344" t="n">
        <v>-8.710000000000001</v>
      </c>
      <c r="I344" t="n">
        <v>45</v>
      </c>
      <c r="J344" t="n">
        <v>45</v>
      </c>
      <c r="K344" t="n">
        <v>55</v>
      </c>
      <c r="L344" t="b">
        <v>0</v>
      </c>
      <c r="M344" t="b">
        <v>0</v>
      </c>
      <c r="N344" t="inlineStr">
        <is>
          <t>AVOID</t>
        </is>
      </c>
    </row>
    <row r="345">
      <c r="A345" t="n">
        <v>344</v>
      </c>
      <c r="B345" t="inlineStr">
        <is>
          <t>FTDR</t>
        </is>
      </c>
      <c r="C345" t="inlineStr">
        <is>
          <t>2026-07-30</t>
        </is>
      </c>
      <c r="D345" t="n">
        <v>73.56999999999999</v>
      </c>
      <c r="E345" t="n">
        <v>43.59</v>
      </c>
      <c r="F345" t="n">
        <v>0.64</v>
      </c>
      <c r="G345" t="n">
        <v>7.19</v>
      </c>
      <c r="H345" t="n">
        <v>-6.96</v>
      </c>
      <c r="I345" t="n">
        <v>45</v>
      </c>
      <c r="J345" t="n">
        <v>60</v>
      </c>
      <c r="K345" t="n">
        <v>55</v>
      </c>
      <c r="L345" t="b">
        <v>0</v>
      </c>
      <c r="M345" t="b">
        <v>0</v>
      </c>
      <c r="N345" t="inlineStr">
        <is>
          <t>AVOID</t>
        </is>
      </c>
    </row>
    <row r="346">
      <c r="A346" t="n">
        <v>345</v>
      </c>
      <c r="B346" t="inlineStr">
        <is>
          <t>COLB</t>
        </is>
      </c>
      <c r="C346" t="inlineStr">
        <is>
          <t>2026-07-30</t>
        </is>
      </c>
      <c r="D346" t="n">
        <v>31.31</v>
      </c>
      <c r="E346" t="n">
        <v>43.68</v>
      </c>
      <c r="F346" t="n">
        <v>0.85</v>
      </c>
      <c r="G346" t="n">
        <v>7.1</v>
      </c>
      <c r="H346" t="n">
        <v>-6.86</v>
      </c>
      <c r="I346" t="n">
        <v>45</v>
      </c>
      <c r="J346" t="n">
        <v>60</v>
      </c>
      <c r="K346" t="n">
        <v>55</v>
      </c>
      <c r="L346" t="b">
        <v>0</v>
      </c>
      <c r="M346" t="b">
        <v>0</v>
      </c>
      <c r="N346" t="inlineStr">
        <is>
          <t>AVOID</t>
        </is>
      </c>
    </row>
    <row r="347">
      <c r="A347" t="n">
        <v>346</v>
      </c>
      <c r="B347" t="inlineStr">
        <is>
          <t>VLY</t>
        </is>
      </c>
      <c r="C347" t="inlineStr">
        <is>
          <t>2026-07-30</t>
        </is>
      </c>
      <c r="D347" t="n">
        <v>14.36</v>
      </c>
      <c r="E347" t="n">
        <v>43.14</v>
      </c>
      <c r="F347" t="n">
        <v>0.37</v>
      </c>
      <c r="G347" t="n">
        <v>6.62</v>
      </c>
      <c r="H347" t="n">
        <v>-5.46</v>
      </c>
      <c r="I347" t="n">
        <v>45</v>
      </c>
      <c r="J347" t="n">
        <v>60</v>
      </c>
      <c r="K347" t="n">
        <v>55</v>
      </c>
      <c r="L347" t="b">
        <v>0</v>
      </c>
      <c r="M347" t="b">
        <v>0</v>
      </c>
      <c r="N347" t="inlineStr">
        <is>
          <t>AVOID</t>
        </is>
      </c>
    </row>
    <row r="348">
      <c r="A348" t="n">
        <v>347</v>
      </c>
      <c r="B348" t="inlineStr">
        <is>
          <t>EEFT</t>
        </is>
      </c>
      <c r="C348" t="inlineStr">
        <is>
          <t>2026-07-30</t>
        </is>
      </c>
      <c r="D348" t="n">
        <v>77</v>
      </c>
      <c r="E348" t="n">
        <v>49.36</v>
      </c>
      <c r="F348" t="n">
        <v>1.71</v>
      </c>
      <c r="G348" t="n">
        <v>6.38</v>
      </c>
      <c r="H348" t="n">
        <v>-22.23</v>
      </c>
      <c r="I348" t="n">
        <v>35</v>
      </c>
      <c r="J348" t="n">
        <v>100</v>
      </c>
      <c r="K348" t="n">
        <v>55</v>
      </c>
      <c r="L348" t="b">
        <v>0</v>
      </c>
      <c r="M348" t="b">
        <v>0</v>
      </c>
      <c r="N348" t="inlineStr">
        <is>
          <t>AVOID</t>
        </is>
      </c>
    </row>
    <row r="349">
      <c r="A349" t="n">
        <v>348</v>
      </c>
      <c r="B349" t="inlineStr">
        <is>
          <t>ACGL</t>
        </is>
      </c>
      <c r="C349" t="inlineStr">
        <is>
          <t>2026-07-30</t>
        </is>
      </c>
      <c r="D349" t="n">
        <v>100.4</v>
      </c>
      <c r="E349" t="n">
        <v>48.78</v>
      </c>
      <c r="F349" t="n">
        <v>0.61</v>
      </c>
      <c r="G349" t="n">
        <v>6.29</v>
      </c>
      <c r="H349" t="n">
        <v>-5.71</v>
      </c>
      <c r="I349" t="n">
        <v>45</v>
      </c>
      <c r="J349" t="n">
        <v>85</v>
      </c>
      <c r="K349" t="n">
        <v>55</v>
      </c>
      <c r="L349" t="b">
        <v>0</v>
      </c>
      <c r="M349" t="b">
        <v>0</v>
      </c>
      <c r="N349" t="inlineStr">
        <is>
          <t>AVOID</t>
        </is>
      </c>
    </row>
    <row r="350">
      <c r="A350" t="n">
        <v>349</v>
      </c>
      <c r="B350" t="inlineStr">
        <is>
          <t>PBYI</t>
        </is>
      </c>
      <c r="C350" t="inlineStr">
        <is>
          <t>2026-07-30</t>
        </is>
      </c>
      <c r="D350" t="n">
        <v>7.86</v>
      </c>
      <c r="E350" t="n">
        <v>46.79</v>
      </c>
      <c r="F350" t="n">
        <v>0.42</v>
      </c>
      <c r="G350" t="n">
        <v>4.66</v>
      </c>
      <c r="H350" t="n">
        <v>-8.390000000000001</v>
      </c>
      <c r="I350" t="n">
        <v>45</v>
      </c>
      <c r="J350" t="n">
        <v>70</v>
      </c>
      <c r="K350" t="n">
        <v>55</v>
      </c>
      <c r="L350" t="b">
        <v>0</v>
      </c>
      <c r="M350" t="b">
        <v>0</v>
      </c>
      <c r="N350" t="inlineStr">
        <is>
          <t>AVOID</t>
        </is>
      </c>
    </row>
    <row r="351">
      <c r="A351" t="n">
        <v>350</v>
      </c>
      <c r="B351" t="inlineStr">
        <is>
          <t>ABCB</t>
        </is>
      </c>
      <c r="C351" t="inlineStr">
        <is>
          <t>2026-07-30</t>
        </is>
      </c>
      <c r="D351" t="n">
        <v>87.95999999999999</v>
      </c>
      <c r="E351" t="n">
        <v>40.66</v>
      </c>
      <c r="F351" t="n">
        <v>0.25</v>
      </c>
      <c r="G351" t="n">
        <v>3.4</v>
      </c>
      <c r="H351" t="n">
        <v>-5.6</v>
      </c>
      <c r="I351" t="n">
        <v>45</v>
      </c>
      <c r="J351" t="n">
        <v>60</v>
      </c>
      <c r="K351" t="n">
        <v>55</v>
      </c>
      <c r="L351" t="b">
        <v>0</v>
      </c>
      <c r="M351" t="b">
        <v>0</v>
      </c>
      <c r="N351" t="inlineStr">
        <is>
          <t>AVOID</t>
        </is>
      </c>
    </row>
    <row r="352">
      <c r="A352" t="n">
        <v>351</v>
      </c>
      <c r="B352" t="inlineStr">
        <is>
          <t>BATRK</t>
        </is>
      </c>
      <c r="C352" t="inlineStr">
        <is>
          <t>2026-07-30</t>
        </is>
      </c>
      <c r="D352" t="n">
        <v>50.81</v>
      </c>
      <c r="E352" t="n">
        <v>47.51</v>
      </c>
      <c r="F352" t="n">
        <v>0.67</v>
      </c>
      <c r="G352" t="n">
        <v>2.82</v>
      </c>
      <c r="H352" t="n">
        <v>-3.91</v>
      </c>
      <c r="I352" t="n">
        <v>35</v>
      </c>
      <c r="J352" t="n">
        <v>65</v>
      </c>
      <c r="K352" t="n">
        <v>55</v>
      </c>
      <c r="L352" t="b">
        <v>0</v>
      </c>
      <c r="M352" t="b">
        <v>0</v>
      </c>
      <c r="N352" t="inlineStr">
        <is>
          <t>AVOID</t>
        </is>
      </c>
    </row>
    <row r="353">
      <c r="A353" t="n">
        <v>352</v>
      </c>
      <c r="B353" t="inlineStr">
        <is>
          <t>SLAB</t>
        </is>
      </c>
      <c r="C353" t="inlineStr">
        <is>
          <t>2026-07-30</t>
        </is>
      </c>
      <c r="D353" t="n">
        <v>217.69</v>
      </c>
      <c r="E353" t="n">
        <v>41.55</v>
      </c>
      <c r="F353" t="n">
        <v>0.3</v>
      </c>
      <c r="G353" t="n">
        <v>-0</v>
      </c>
      <c r="H353" t="n">
        <v>-1.2</v>
      </c>
      <c r="I353" t="n">
        <v>25</v>
      </c>
      <c r="J353" t="n">
        <v>40</v>
      </c>
      <c r="K353" t="n">
        <v>55</v>
      </c>
      <c r="L353" t="b">
        <v>0</v>
      </c>
      <c r="M353" t="b">
        <v>0</v>
      </c>
      <c r="N353" t="inlineStr">
        <is>
          <t>AVOID</t>
        </is>
      </c>
    </row>
    <row r="354">
      <c r="A354" t="n">
        <v>353</v>
      </c>
      <c r="B354" t="inlineStr">
        <is>
          <t>ODFL</t>
        </is>
      </c>
      <c r="C354" t="inlineStr">
        <is>
          <t>2026-07-30</t>
        </is>
      </c>
      <c r="D354" t="n">
        <v>210.85</v>
      </c>
      <c r="E354" t="n">
        <v>36.42</v>
      </c>
      <c r="F354" t="n">
        <v>1.67</v>
      </c>
      <c r="G354" t="n">
        <v>-0.62</v>
      </c>
      <c r="H354" t="n">
        <v>-15.23</v>
      </c>
      <c r="I354" t="n">
        <v>35</v>
      </c>
      <c r="J354" t="n">
        <v>40</v>
      </c>
      <c r="K354" t="n">
        <v>55</v>
      </c>
      <c r="L354" t="b">
        <v>0</v>
      </c>
      <c r="M354" t="b">
        <v>0</v>
      </c>
      <c r="N354" t="inlineStr">
        <is>
          <t>AVOID</t>
        </is>
      </c>
    </row>
    <row r="355">
      <c r="A355" t="n">
        <v>354</v>
      </c>
      <c r="B355" t="inlineStr">
        <is>
          <t>NWE</t>
        </is>
      </c>
      <c r="C355" t="inlineStr">
        <is>
          <t>2026-07-30</t>
        </is>
      </c>
      <c r="D355" t="n">
        <v>70.06999999999999</v>
      </c>
      <c r="E355" t="n">
        <v>35.37</v>
      </c>
      <c r="F355" t="n">
        <v>0.45</v>
      </c>
      <c r="G355" t="n">
        <v>-2.22</v>
      </c>
      <c r="H355" t="n">
        <v>-4.56</v>
      </c>
      <c r="I355" t="n">
        <v>35</v>
      </c>
      <c r="J355" t="n">
        <v>40</v>
      </c>
      <c r="K355" t="n">
        <v>55</v>
      </c>
      <c r="L355" t="b">
        <v>0</v>
      </c>
      <c r="M355" t="b">
        <v>0</v>
      </c>
      <c r="N355" t="inlineStr">
        <is>
          <t>AVOID</t>
        </is>
      </c>
    </row>
    <row r="356">
      <c r="A356" t="n">
        <v>355</v>
      </c>
      <c r="B356" t="inlineStr">
        <is>
          <t>GBDC</t>
        </is>
      </c>
      <c r="C356" t="inlineStr">
        <is>
          <t>2026-07-30</t>
        </is>
      </c>
      <c r="D356" t="n">
        <v>12.78</v>
      </c>
      <c r="E356" t="n">
        <v>45.14</v>
      </c>
      <c r="F356" t="n">
        <v>0.51</v>
      </c>
      <c r="G356" t="n">
        <v>-4.34</v>
      </c>
      <c r="H356" t="n">
        <v>-5.03</v>
      </c>
      <c r="I356" t="n">
        <v>45</v>
      </c>
      <c r="J356" t="n">
        <v>85</v>
      </c>
      <c r="K356" t="n">
        <v>55</v>
      </c>
      <c r="L356" t="b">
        <v>0</v>
      </c>
      <c r="M356" t="b">
        <v>0</v>
      </c>
      <c r="N356" t="inlineStr">
        <is>
          <t>AVOID</t>
        </is>
      </c>
    </row>
    <row r="357">
      <c r="A357" t="n">
        <v>356</v>
      </c>
      <c r="B357" t="inlineStr">
        <is>
          <t>XEL</t>
        </is>
      </c>
      <c r="C357" t="inlineStr">
        <is>
          <t>2026-07-30</t>
        </is>
      </c>
      <c r="D357" t="n">
        <v>78.69</v>
      </c>
      <c r="E357" t="n">
        <v>42.92</v>
      </c>
      <c r="F357" t="n">
        <v>0.9399999999999999</v>
      </c>
      <c r="G357" t="n">
        <v>-4.42</v>
      </c>
      <c r="H357" t="n">
        <v>-4.82</v>
      </c>
      <c r="I357" t="n">
        <v>35</v>
      </c>
      <c r="J357" t="n">
        <v>40</v>
      </c>
      <c r="K357" t="n">
        <v>55</v>
      </c>
      <c r="L357" t="b">
        <v>0</v>
      </c>
      <c r="M357" t="b">
        <v>0</v>
      </c>
      <c r="N357" t="inlineStr">
        <is>
          <t>AVOID</t>
        </is>
      </c>
    </row>
    <row r="358">
      <c r="A358" t="n">
        <v>357</v>
      </c>
      <c r="B358" t="inlineStr">
        <is>
          <t>QDEL</t>
        </is>
      </c>
      <c r="C358" t="inlineStr">
        <is>
          <t>2026-07-30</t>
        </is>
      </c>
      <c r="D358" t="n">
        <v>16.51</v>
      </c>
      <c r="E358" t="n">
        <v>32.4</v>
      </c>
      <c r="F358" t="n">
        <v>0.47</v>
      </c>
      <c r="G358" t="n">
        <v>34.23</v>
      </c>
      <c r="H358" t="n">
        <v>-53.34</v>
      </c>
      <c r="I358" t="n">
        <v>20</v>
      </c>
      <c r="J358" t="n">
        <v>20</v>
      </c>
      <c r="K358" t="n">
        <v>50</v>
      </c>
      <c r="L358" t="b">
        <v>0</v>
      </c>
      <c r="M358" t="b">
        <v>0</v>
      </c>
      <c r="N358" t="inlineStr">
        <is>
          <t>AVOID</t>
        </is>
      </c>
    </row>
    <row r="359">
      <c r="A359" t="n">
        <v>358</v>
      </c>
      <c r="B359" t="inlineStr">
        <is>
          <t>QGEN</t>
        </is>
      </c>
      <c r="C359" t="inlineStr">
        <is>
          <t>2026-07-30</t>
        </is>
      </c>
      <c r="D359" t="n">
        <v>41.47</v>
      </c>
      <c r="E359" t="n">
        <v>49.56</v>
      </c>
      <c r="F359" t="n">
        <v>0.5</v>
      </c>
      <c r="G359" t="n">
        <v>20.99</v>
      </c>
      <c r="H359" t="n">
        <v>-24.83</v>
      </c>
      <c r="I359" t="n">
        <v>30</v>
      </c>
      <c r="J359" t="n">
        <v>60</v>
      </c>
      <c r="K359" t="n">
        <v>50</v>
      </c>
      <c r="L359" t="b">
        <v>0</v>
      </c>
      <c r="M359" t="b">
        <v>0</v>
      </c>
      <c r="N359" t="inlineStr">
        <is>
          <t>AVOID</t>
        </is>
      </c>
    </row>
    <row r="360">
      <c r="A360" t="n">
        <v>359</v>
      </c>
      <c r="B360" t="inlineStr">
        <is>
          <t>MMYT</t>
        </is>
      </c>
      <c r="C360" t="inlineStr">
        <is>
          <t>2026-07-30</t>
        </is>
      </c>
      <c r="D360" t="n">
        <v>56.9</v>
      </c>
      <c r="E360" t="n">
        <v>46.56</v>
      </c>
      <c r="F360" t="n">
        <v>0.5600000000000001</v>
      </c>
      <c r="G360" t="n">
        <v>20.53</v>
      </c>
      <c r="H360" t="n">
        <v>-44.87</v>
      </c>
      <c r="I360" t="n">
        <v>30</v>
      </c>
      <c r="J360" t="n">
        <v>45</v>
      </c>
      <c r="K360" t="n">
        <v>50</v>
      </c>
      <c r="L360" t="b">
        <v>0</v>
      </c>
      <c r="M360" t="b">
        <v>0</v>
      </c>
      <c r="N360" t="inlineStr">
        <is>
          <t>AVOID</t>
        </is>
      </c>
    </row>
    <row r="361">
      <c r="A361" t="n">
        <v>360</v>
      </c>
      <c r="B361" t="inlineStr">
        <is>
          <t>CLSK</t>
        </is>
      </c>
      <c r="C361" t="inlineStr">
        <is>
          <t>2026-07-30</t>
        </is>
      </c>
      <c r="D361" t="n">
        <v>14.59</v>
      </c>
      <c r="E361" t="n">
        <v>56.97</v>
      </c>
      <c r="F361" t="n">
        <v>1</v>
      </c>
      <c r="G361" t="n">
        <v>16.44</v>
      </c>
      <c r="H361" t="n">
        <v>-37.11</v>
      </c>
      <c r="I361" t="n">
        <v>40</v>
      </c>
      <c r="J361" t="n">
        <v>50</v>
      </c>
      <c r="K361" t="n">
        <v>50</v>
      </c>
      <c r="L361" t="b">
        <v>0</v>
      </c>
      <c r="M361" t="b">
        <v>0</v>
      </c>
      <c r="N361" t="inlineStr">
        <is>
          <t>AVOID</t>
        </is>
      </c>
    </row>
    <row r="362">
      <c r="A362" t="n">
        <v>361</v>
      </c>
      <c r="B362" t="inlineStr">
        <is>
          <t>AXSM</t>
        </is>
      </c>
      <c r="C362" t="inlineStr">
        <is>
          <t>2026-07-30</t>
        </is>
      </c>
      <c r="D362" t="n">
        <v>233.85</v>
      </c>
      <c r="E362" t="n">
        <v>50.04</v>
      </c>
      <c r="F362" t="n">
        <v>0.5600000000000001</v>
      </c>
      <c r="G362" t="n">
        <v>12.57</v>
      </c>
      <c r="H362" t="n">
        <v>-8.35</v>
      </c>
      <c r="I362" t="n">
        <v>30</v>
      </c>
      <c r="J362" t="n">
        <v>65</v>
      </c>
      <c r="K362" t="n">
        <v>50</v>
      </c>
      <c r="L362" t="b">
        <v>0</v>
      </c>
      <c r="M362" t="b">
        <v>0</v>
      </c>
      <c r="N362" t="inlineStr">
        <is>
          <t>AVOID</t>
        </is>
      </c>
    </row>
    <row r="363">
      <c r="A363" t="n">
        <v>362</v>
      </c>
      <c r="B363" t="inlineStr">
        <is>
          <t>VRSK</t>
        </is>
      </c>
      <c r="C363" t="inlineStr">
        <is>
          <t>2026-07-30</t>
        </is>
      </c>
      <c r="D363" t="n">
        <v>200.37</v>
      </c>
      <c r="E363" t="n">
        <v>61.09</v>
      </c>
      <c r="F363" t="n">
        <v>0.8100000000000001</v>
      </c>
      <c r="G363" t="n">
        <v>8.9</v>
      </c>
      <c r="H363" t="n">
        <v>-27.45</v>
      </c>
      <c r="I363" t="n">
        <v>50</v>
      </c>
      <c r="J363" t="n">
        <v>85</v>
      </c>
      <c r="K363" t="n">
        <v>50</v>
      </c>
      <c r="L363" t="b">
        <v>0</v>
      </c>
      <c r="M363" t="b">
        <v>0</v>
      </c>
      <c r="N363" t="inlineStr">
        <is>
          <t>AVOID</t>
        </is>
      </c>
    </row>
    <row r="364">
      <c r="A364" t="n">
        <v>363</v>
      </c>
      <c r="B364" t="inlineStr">
        <is>
          <t>CDW</t>
        </is>
      </c>
      <c r="C364" t="inlineStr">
        <is>
          <t>2026-07-30</t>
        </is>
      </c>
      <c r="D364" t="n">
        <v>145.11</v>
      </c>
      <c r="E364" t="n">
        <v>50.84</v>
      </c>
      <c r="F364" t="n">
        <v>0.38</v>
      </c>
      <c r="G364" t="n">
        <v>6.62</v>
      </c>
      <c r="H364" t="n">
        <v>-17.8</v>
      </c>
      <c r="I364" t="n">
        <v>50</v>
      </c>
      <c r="J364" t="n">
        <v>70</v>
      </c>
      <c r="K364" t="n">
        <v>50</v>
      </c>
      <c r="L364" t="b">
        <v>0</v>
      </c>
      <c r="M364" t="b">
        <v>0</v>
      </c>
      <c r="N364" t="inlineStr">
        <is>
          <t>AVOID</t>
        </is>
      </c>
    </row>
    <row r="365">
      <c r="A365" t="n">
        <v>364</v>
      </c>
      <c r="B365" t="inlineStr">
        <is>
          <t>COLM</t>
        </is>
      </c>
      <c r="C365" t="inlineStr">
        <is>
          <t>2026-07-30</t>
        </is>
      </c>
      <c r="D365" t="n">
        <v>63.24</v>
      </c>
      <c r="E365" t="n">
        <v>50.96</v>
      </c>
      <c r="F365" t="n">
        <v>0.8</v>
      </c>
      <c r="G365" t="n">
        <v>4.33</v>
      </c>
      <c r="H365" t="n">
        <v>-6.71</v>
      </c>
      <c r="I365" t="n">
        <v>40</v>
      </c>
      <c r="J365" t="n">
        <v>65</v>
      </c>
      <c r="K365" t="n">
        <v>50</v>
      </c>
      <c r="L365" t="b">
        <v>0</v>
      </c>
      <c r="M365" t="b">
        <v>0</v>
      </c>
      <c r="N365" t="inlineStr">
        <is>
          <t>AVOID</t>
        </is>
      </c>
    </row>
    <row r="366">
      <c r="A366" t="n">
        <v>365</v>
      </c>
      <c r="B366" t="inlineStr">
        <is>
          <t>FIZZ</t>
        </is>
      </c>
      <c r="C366" t="inlineStr">
        <is>
          <t>2026-07-30</t>
        </is>
      </c>
      <c r="D366" t="n">
        <v>32.21</v>
      </c>
      <c r="E366" t="n">
        <v>61.02</v>
      </c>
      <c r="F366" t="n">
        <v>0.38</v>
      </c>
      <c r="G366" t="n">
        <v>4.13</v>
      </c>
      <c r="H366" t="n">
        <v>-24.18</v>
      </c>
      <c r="I366" t="n">
        <v>50</v>
      </c>
      <c r="J366" t="n">
        <v>70</v>
      </c>
      <c r="K366" t="n">
        <v>50</v>
      </c>
      <c r="L366" t="b">
        <v>0</v>
      </c>
      <c r="M366" t="b">
        <v>0</v>
      </c>
      <c r="N366" t="inlineStr">
        <is>
          <t>AVOID</t>
        </is>
      </c>
    </row>
    <row r="367">
      <c r="A367" t="n">
        <v>366</v>
      </c>
      <c r="B367" t="inlineStr">
        <is>
          <t>REAL</t>
        </is>
      </c>
      <c r="C367" t="inlineStr">
        <is>
          <t>2026-07-30</t>
        </is>
      </c>
      <c r="D367" t="n">
        <v>12.12</v>
      </c>
      <c r="E367" t="n">
        <v>69.23</v>
      </c>
      <c r="F367" t="n">
        <v>0.37</v>
      </c>
      <c r="G367" t="n">
        <v>1.98</v>
      </c>
      <c r="H367" t="n">
        <v>-28.25</v>
      </c>
      <c r="I367" t="n">
        <v>50</v>
      </c>
      <c r="J367" t="n">
        <v>45</v>
      </c>
      <c r="K367" t="n">
        <v>50</v>
      </c>
      <c r="L367" t="b">
        <v>0</v>
      </c>
      <c r="M367" t="b">
        <v>0</v>
      </c>
      <c r="N367" t="inlineStr">
        <is>
          <t>AVOID</t>
        </is>
      </c>
    </row>
    <row r="368">
      <c r="A368" t="n">
        <v>367</v>
      </c>
      <c r="B368" t="inlineStr">
        <is>
          <t>FOXF</t>
        </is>
      </c>
      <c r="C368" t="inlineStr">
        <is>
          <t>2026-07-30</t>
        </is>
      </c>
      <c r="D368" t="n">
        <v>18.07</v>
      </c>
      <c r="E368" t="n">
        <v>58.54</v>
      </c>
      <c r="F368" t="n">
        <v>0.7</v>
      </c>
      <c r="G368" t="n">
        <v>1.8</v>
      </c>
      <c r="H368" t="n">
        <v>-40.5</v>
      </c>
      <c r="I368" t="n">
        <v>50</v>
      </c>
      <c r="J368" t="n">
        <v>85</v>
      </c>
      <c r="K368" t="n">
        <v>50</v>
      </c>
      <c r="L368" t="b">
        <v>0</v>
      </c>
      <c r="M368" t="b">
        <v>0</v>
      </c>
      <c r="N368" t="inlineStr">
        <is>
          <t>AVOID</t>
        </is>
      </c>
    </row>
    <row r="369">
      <c r="A369" t="n">
        <v>368</v>
      </c>
      <c r="B369" t="inlineStr">
        <is>
          <t>LPLA</t>
        </is>
      </c>
      <c r="C369" t="inlineStr">
        <is>
          <t>2026-07-30</t>
        </is>
      </c>
      <c r="D369" t="n">
        <v>339.27</v>
      </c>
      <c r="E369" t="n">
        <v>70.97</v>
      </c>
      <c r="F369" t="n">
        <v>0.64</v>
      </c>
      <c r="G369" t="n">
        <v>1.65</v>
      </c>
      <c r="H369" t="n">
        <v>-14.66</v>
      </c>
      <c r="I369" t="n">
        <v>50</v>
      </c>
      <c r="J369" t="n">
        <v>45</v>
      </c>
      <c r="K369" t="n">
        <v>50</v>
      </c>
      <c r="L369" t="b">
        <v>0</v>
      </c>
      <c r="M369" t="b">
        <v>0</v>
      </c>
      <c r="N369" t="inlineStr">
        <is>
          <t>AVOID</t>
        </is>
      </c>
    </row>
    <row r="370">
      <c r="A370" t="n">
        <v>369</v>
      </c>
      <c r="B370" t="inlineStr">
        <is>
          <t>STIM</t>
        </is>
      </c>
      <c r="C370" t="inlineStr">
        <is>
          <t>2026-07-30</t>
        </is>
      </c>
      <c r="D370" t="n">
        <v>1.96</v>
      </c>
      <c r="E370" t="n">
        <v>56.7</v>
      </c>
      <c r="F370" t="n">
        <v>0.26</v>
      </c>
      <c r="G370" t="n">
        <v>0.77</v>
      </c>
      <c r="H370" t="n">
        <v>-58.05</v>
      </c>
      <c r="I370" t="n">
        <v>50</v>
      </c>
      <c r="J370" t="n">
        <v>70</v>
      </c>
      <c r="K370" t="n">
        <v>50</v>
      </c>
      <c r="L370" t="b">
        <v>0</v>
      </c>
      <c r="M370" t="b">
        <v>0</v>
      </c>
      <c r="N370" t="inlineStr">
        <is>
          <t>AVOID</t>
        </is>
      </c>
    </row>
    <row r="371">
      <c r="A371" t="n">
        <v>370</v>
      </c>
      <c r="B371" t="inlineStr">
        <is>
          <t>CBOE</t>
        </is>
      </c>
      <c r="C371" t="inlineStr">
        <is>
          <t>2026-07-30</t>
        </is>
      </c>
      <c r="D371" t="n">
        <v>301.01</v>
      </c>
      <c r="E371" t="n">
        <v>74.42</v>
      </c>
      <c r="F371" t="n">
        <v>0.9</v>
      </c>
      <c r="G371" t="n">
        <v>0.52</v>
      </c>
      <c r="H371" t="n">
        <v>-17.74</v>
      </c>
      <c r="I371" t="n">
        <v>50</v>
      </c>
      <c r="J371" t="n">
        <v>45</v>
      </c>
      <c r="K371" t="n">
        <v>50</v>
      </c>
      <c r="L371" t="b">
        <v>0</v>
      </c>
      <c r="M371" t="b">
        <v>0</v>
      </c>
      <c r="N371" t="inlineStr">
        <is>
          <t>AVOID</t>
        </is>
      </c>
    </row>
    <row r="372">
      <c r="A372" t="n">
        <v>371</v>
      </c>
      <c r="B372" t="inlineStr">
        <is>
          <t>HAS</t>
        </is>
      </c>
      <c r="C372" t="inlineStr">
        <is>
          <t>2026-07-30</t>
        </is>
      </c>
      <c r="D372" t="n">
        <v>94.11</v>
      </c>
      <c r="E372" t="n">
        <v>78.81</v>
      </c>
      <c r="F372" t="n">
        <v>0.23</v>
      </c>
      <c r="G372" t="n">
        <v>-1</v>
      </c>
      <c r="H372" t="n">
        <v>-9.82</v>
      </c>
      <c r="I372" t="n">
        <v>40</v>
      </c>
      <c r="J372" t="n">
        <v>45</v>
      </c>
      <c r="K372" t="n">
        <v>50</v>
      </c>
      <c r="L372" t="b">
        <v>0</v>
      </c>
      <c r="M372" t="b">
        <v>0</v>
      </c>
      <c r="N372" t="inlineStr">
        <is>
          <t>AVOID</t>
        </is>
      </c>
    </row>
    <row r="373">
      <c r="A373" t="n">
        <v>372</v>
      </c>
      <c r="B373" t="inlineStr">
        <is>
          <t>GLPI</t>
        </is>
      </c>
      <c r="C373" t="inlineStr">
        <is>
          <t>2026-07-30</t>
        </is>
      </c>
      <c r="D373" t="n">
        <v>44.67</v>
      </c>
      <c r="E373" t="n">
        <v>61.12</v>
      </c>
      <c r="F373" t="n">
        <v>0.67</v>
      </c>
      <c r="G373" t="n">
        <v>-6.2</v>
      </c>
      <c r="H373" t="n">
        <v>-7.27</v>
      </c>
      <c r="I373" t="n">
        <v>40</v>
      </c>
      <c r="J373" t="n">
        <v>65</v>
      </c>
      <c r="K373" t="n">
        <v>50</v>
      </c>
      <c r="L373" t="b">
        <v>0</v>
      </c>
      <c r="M373" t="b">
        <v>0</v>
      </c>
      <c r="N373" t="inlineStr">
        <is>
          <t>AVOID</t>
        </is>
      </c>
    </row>
    <row r="374">
      <c r="A374" t="n">
        <v>373</v>
      </c>
      <c r="B374" t="inlineStr">
        <is>
          <t>MDGL</t>
        </is>
      </c>
      <c r="C374" t="inlineStr">
        <is>
          <t>2026-07-30</t>
        </is>
      </c>
      <c r="D374" t="n">
        <v>485.16</v>
      </c>
      <c r="E374" t="n">
        <v>34.97</v>
      </c>
      <c r="F374" t="n">
        <v>3.83</v>
      </c>
      <c r="G374" t="n">
        <v>-6.23</v>
      </c>
      <c r="H374" t="n">
        <v>-19.52</v>
      </c>
      <c r="I374" t="n">
        <v>20</v>
      </c>
      <c r="J374" t="n">
        <v>15</v>
      </c>
      <c r="K374" t="n">
        <v>50</v>
      </c>
      <c r="L374" t="b">
        <v>0</v>
      </c>
      <c r="M374" t="b">
        <v>0</v>
      </c>
      <c r="N374" t="inlineStr">
        <is>
          <t>AVOID</t>
        </is>
      </c>
    </row>
    <row r="375">
      <c r="A375" t="n">
        <v>374</v>
      </c>
      <c r="B375" t="inlineStr">
        <is>
          <t>FIVE</t>
        </is>
      </c>
      <c r="C375" t="inlineStr">
        <is>
          <t>2026-07-30</t>
        </is>
      </c>
      <c r="D375" t="n">
        <v>218.96</v>
      </c>
      <c r="E375" t="n">
        <v>89.20999999999999</v>
      </c>
      <c r="F375" t="n">
        <v>0.43</v>
      </c>
      <c r="G375" t="n">
        <v>-7.09</v>
      </c>
      <c r="H375" t="n">
        <v>-11.61</v>
      </c>
      <c r="I375" t="n">
        <v>50</v>
      </c>
      <c r="J375" t="n">
        <v>45</v>
      </c>
      <c r="K375" t="n">
        <v>50</v>
      </c>
      <c r="L375" t="b">
        <v>0</v>
      </c>
      <c r="M375" t="b">
        <v>0</v>
      </c>
      <c r="N375" t="inlineStr">
        <is>
          <t>AVOID</t>
        </is>
      </c>
    </row>
    <row r="376">
      <c r="A376" t="n">
        <v>375</v>
      </c>
      <c r="B376" t="inlineStr">
        <is>
          <t>GOLD</t>
        </is>
      </c>
      <c r="C376" t="inlineStr">
        <is>
          <t>2026-07-30</t>
        </is>
      </c>
      <c r="D376" t="n">
        <v>41.66</v>
      </c>
      <c r="E376" t="n">
        <v>58.74</v>
      </c>
      <c r="F376" t="n">
        <v>0.71</v>
      </c>
      <c r="G376" t="n">
        <v>-7.34</v>
      </c>
      <c r="H376" t="n">
        <v>-34.5</v>
      </c>
      <c r="I376" t="n">
        <v>50</v>
      </c>
      <c r="J376" t="n">
        <v>70</v>
      </c>
      <c r="K376" t="n">
        <v>50</v>
      </c>
      <c r="L376" t="b">
        <v>0</v>
      </c>
      <c r="M376" t="b">
        <v>0</v>
      </c>
      <c r="N376" t="inlineStr">
        <is>
          <t>AVOID</t>
        </is>
      </c>
    </row>
    <row r="377">
      <c r="A377" t="n">
        <v>376</v>
      </c>
      <c r="B377" t="inlineStr">
        <is>
          <t>APA</t>
        </is>
      </c>
      <c r="C377" t="inlineStr">
        <is>
          <t>2026-07-30</t>
        </is>
      </c>
      <c r="D377" t="n">
        <v>36.14</v>
      </c>
      <c r="E377" t="n">
        <v>66.37</v>
      </c>
      <c r="F377" t="n">
        <v>0.57</v>
      </c>
      <c r="G377" t="n">
        <v>-10.64</v>
      </c>
      <c r="H377" t="n">
        <v>-17.46</v>
      </c>
      <c r="I377" t="n">
        <v>50</v>
      </c>
      <c r="J377" t="n">
        <v>45</v>
      </c>
      <c r="K377" t="n">
        <v>50</v>
      </c>
      <c r="L377" t="b">
        <v>0</v>
      </c>
      <c r="M377" t="b">
        <v>0</v>
      </c>
      <c r="N377" t="inlineStr">
        <is>
          <t>AVOID</t>
        </is>
      </c>
    </row>
    <row r="378">
      <c r="A378" t="n">
        <v>377</v>
      </c>
      <c r="B378" t="inlineStr">
        <is>
          <t>MEOH</t>
        </is>
      </c>
      <c r="C378" t="inlineStr">
        <is>
          <t>2026-07-30</t>
        </is>
      </c>
      <c r="D378" t="n">
        <v>55.13</v>
      </c>
      <c r="E378" t="n">
        <v>67.34</v>
      </c>
      <c r="F378" t="n">
        <v>0.6899999999999999</v>
      </c>
      <c r="G378" t="n">
        <v>-15.6</v>
      </c>
      <c r="H378" t="n">
        <v>-15.83</v>
      </c>
      <c r="I378" t="n">
        <v>50</v>
      </c>
      <c r="J378" t="n">
        <v>45</v>
      </c>
      <c r="K378" t="n">
        <v>50</v>
      </c>
      <c r="L378" t="b">
        <v>0</v>
      </c>
      <c r="M378" t="b">
        <v>0</v>
      </c>
      <c r="N378" t="inlineStr">
        <is>
          <t>AVOID</t>
        </is>
      </c>
    </row>
    <row r="379">
      <c r="A379" t="n">
        <v>378</v>
      </c>
      <c r="B379" t="inlineStr">
        <is>
          <t>AHCO</t>
        </is>
      </c>
      <c r="C379" t="inlineStr">
        <is>
          <t>2026-07-30</t>
        </is>
      </c>
      <c r="D379" t="n">
        <v>10.7</v>
      </c>
      <c r="E379" t="n">
        <v>57.52</v>
      </c>
      <c r="F379" t="n">
        <v>0.37</v>
      </c>
      <c r="G379" t="n">
        <v>-18.38</v>
      </c>
      <c r="H379" t="n">
        <v>-20.02</v>
      </c>
      <c r="I379" t="n">
        <v>50</v>
      </c>
      <c r="J379" t="n">
        <v>85</v>
      </c>
      <c r="K379" t="n">
        <v>50</v>
      </c>
      <c r="L379" t="b">
        <v>0</v>
      </c>
      <c r="M379" t="b">
        <v>0</v>
      </c>
      <c r="N379" t="inlineStr">
        <is>
          <t>AVOID</t>
        </is>
      </c>
    </row>
    <row r="380">
      <c r="A380" t="n">
        <v>379</v>
      </c>
      <c r="B380" t="inlineStr">
        <is>
          <t>CHRW</t>
        </is>
      </c>
      <c r="C380" t="inlineStr">
        <is>
          <t>2026-07-30</t>
        </is>
      </c>
      <c r="D380" t="n">
        <v>145.13</v>
      </c>
      <c r="E380" t="n">
        <v>25.48</v>
      </c>
      <c r="F380" t="n">
        <v>2.39</v>
      </c>
      <c r="G380" t="n">
        <v>-19.9</v>
      </c>
      <c r="H380" t="n">
        <v>-30.7</v>
      </c>
      <c r="I380" t="n">
        <v>20</v>
      </c>
      <c r="J380" t="n">
        <v>15</v>
      </c>
      <c r="K380" t="n">
        <v>50</v>
      </c>
      <c r="L380" t="b">
        <v>0</v>
      </c>
      <c r="M380" t="b">
        <v>0</v>
      </c>
      <c r="N380" t="inlineStr">
        <is>
          <t>AVOID</t>
        </is>
      </c>
    </row>
    <row r="381">
      <c r="A381" t="n">
        <v>380</v>
      </c>
      <c r="B381" t="inlineStr">
        <is>
          <t>CCCC</t>
        </is>
      </c>
      <c r="C381" t="inlineStr">
        <is>
          <t>2026-07-30</t>
        </is>
      </c>
      <c r="D381" t="n">
        <v>3.59</v>
      </c>
      <c r="E381" t="n">
        <v>36.26</v>
      </c>
      <c r="F381" t="n">
        <v>0.28</v>
      </c>
      <c r="G381" t="n">
        <v>26.86</v>
      </c>
      <c r="H381" t="n">
        <v>-23.13</v>
      </c>
      <c r="I381" t="n">
        <v>25</v>
      </c>
      <c r="J381" t="n">
        <v>25</v>
      </c>
      <c r="K381" t="n">
        <v>45</v>
      </c>
      <c r="L381" t="b">
        <v>0</v>
      </c>
      <c r="M381" t="b">
        <v>0</v>
      </c>
      <c r="N381" t="inlineStr">
        <is>
          <t>AVOID</t>
        </is>
      </c>
    </row>
    <row r="382">
      <c r="A382" t="n">
        <v>381</v>
      </c>
      <c r="B382" t="inlineStr">
        <is>
          <t>CMPS</t>
        </is>
      </c>
      <c r="C382" t="inlineStr">
        <is>
          <t>2026-07-30</t>
        </is>
      </c>
      <c r="D382" t="n">
        <v>11.32</v>
      </c>
      <c r="E382" t="n">
        <v>25.45</v>
      </c>
      <c r="F382" t="n">
        <v>0.26</v>
      </c>
      <c r="G382" t="n">
        <v>25</v>
      </c>
      <c r="H382" t="n">
        <v>-24.85</v>
      </c>
      <c r="I382" t="n">
        <v>25</v>
      </c>
      <c r="J382" t="n">
        <v>25</v>
      </c>
      <c r="K382" t="n">
        <v>45</v>
      </c>
      <c r="L382" t="b">
        <v>0</v>
      </c>
      <c r="M382" t="b">
        <v>0</v>
      </c>
      <c r="N382" t="inlineStr">
        <is>
          <t>AVOID</t>
        </is>
      </c>
    </row>
    <row r="383">
      <c r="A383" t="n">
        <v>382</v>
      </c>
      <c r="B383" t="inlineStr">
        <is>
          <t>CSCO</t>
        </is>
      </c>
      <c r="C383" t="inlineStr">
        <is>
          <t>2026-07-30</t>
        </is>
      </c>
      <c r="D383" t="n">
        <v>113.64</v>
      </c>
      <c r="E383" t="n">
        <v>34.22</v>
      </c>
      <c r="F383" t="n">
        <v>0.5600000000000001</v>
      </c>
      <c r="G383" t="n">
        <v>24.66</v>
      </c>
      <c r="H383" t="n">
        <v>-12.26</v>
      </c>
      <c r="I383" t="n">
        <v>25</v>
      </c>
      <c r="J383" t="n">
        <v>40</v>
      </c>
      <c r="K383" t="n">
        <v>45</v>
      </c>
      <c r="L383" t="b">
        <v>0</v>
      </c>
      <c r="M383" t="b">
        <v>0</v>
      </c>
      <c r="N383" t="inlineStr">
        <is>
          <t>AVOID</t>
        </is>
      </c>
    </row>
    <row r="384">
      <c r="A384" t="n">
        <v>383</v>
      </c>
      <c r="B384" t="inlineStr">
        <is>
          <t>MGNX</t>
        </is>
      </c>
      <c r="C384" t="inlineStr">
        <is>
          <t>2026-07-30</t>
        </is>
      </c>
      <c r="D384" t="n">
        <v>3.8</v>
      </c>
      <c r="E384" t="n">
        <v>40.98</v>
      </c>
      <c r="F384" t="n">
        <v>0.17</v>
      </c>
      <c r="G384" t="n">
        <v>23.21</v>
      </c>
      <c r="H384" t="n">
        <v>-21.91</v>
      </c>
      <c r="I384" t="n">
        <v>25</v>
      </c>
      <c r="J384" t="n">
        <v>25</v>
      </c>
      <c r="K384" t="n">
        <v>45</v>
      </c>
      <c r="L384" t="b">
        <v>0</v>
      </c>
      <c r="M384" t="b">
        <v>0</v>
      </c>
      <c r="N384" t="inlineStr">
        <is>
          <t>AVOID</t>
        </is>
      </c>
    </row>
    <row r="385">
      <c r="A385" t="n">
        <v>384</v>
      </c>
      <c r="B385" t="inlineStr">
        <is>
          <t>FLEX</t>
        </is>
      </c>
      <c r="C385" t="inlineStr">
        <is>
          <t>2026-07-30</t>
        </is>
      </c>
      <c r="D385" t="n">
        <v>111.12</v>
      </c>
      <c r="E385" t="n">
        <v>30.87</v>
      </c>
      <c r="F385" t="n">
        <v>1.12</v>
      </c>
      <c r="G385" t="n">
        <v>21.38</v>
      </c>
      <c r="H385" t="n">
        <v>-31.44</v>
      </c>
      <c r="I385" t="n">
        <v>25</v>
      </c>
      <c r="J385" t="n">
        <v>40</v>
      </c>
      <c r="K385" t="n">
        <v>45</v>
      </c>
      <c r="L385" t="b">
        <v>0</v>
      </c>
      <c r="M385" t="b">
        <v>0</v>
      </c>
      <c r="N385" t="inlineStr">
        <is>
          <t>AVOID</t>
        </is>
      </c>
    </row>
    <row r="386">
      <c r="A386" t="n">
        <v>385</v>
      </c>
      <c r="B386" t="inlineStr">
        <is>
          <t>MRCY</t>
        </is>
      </c>
      <c r="C386" t="inlineStr">
        <is>
          <t>2026-07-30</t>
        </is>
      </c>
      <c r="D386" t="n">
        <v>95.48999999999999</v>
      </c>
      <c r="E386" t="n">
        <v>39.04</v>
      </c>
      <c r="F386" t="n">
        <v>0.38</v>
      </c>
      <c r="G386" t="n">
        <v>21.01</v>
      </c>
      <c r="H386" t="n">
        <v>-24.34</v>
      </c>
      <c r="I386" t="n">
        <v>25</v>
      </c>
      <c r="J386" t="n">
        <v>25</v>
      </c>
      <c r="K386" t="n">
        <v>45</v>
      </c>
      <c r="L386" t="b">
        <v>0</v>
      </c>
      <c r="M386" t="b">
        <v>0</v>
      </c>
      <c r="N386" t="inlineStr">
        <is>
          <t>AVOID</t>
        </is>
      </c>
    </row>
    <row r="387">
      <c r="A387" t="n">
        <v>386</v>
      </c>
      <c r="B387" t="inlineStr">
        <is>
          <t>IRDM</t>
        </is>
      </c>
      <c r="C387" t="inlineStr">
        <is>
          <t>2026-07-30</t>
        </is>
      </c>
      <c r="D387" t="n">
        <v>46.29</v>
      </c>
      <c r="E387" t="n">
        <v>34.15</v>
      </c>
      <c r="F387" t="n">
        <v>0.46</v>
      </c>
      <c r="G387" t="n">
        <v>18.86</v>
      </c>
      <c r="H387" t="n">
        <v>-16.92</v>
      </c>
      <c r="I387" t="n">
        <v>35</v>
      </c>
      <c r="J387" t="n">
        <v>25</v>
      </c>
      <c r="K387" t="n">
        <v>45</v>
      </c>
      <c r="L387" t="b">
        <v>0</v>
      </c>
      <c r="M387" t="b">
        <v>0</v>
      </c>
      <c r="N387" t="inlineStr">
        <is>
          <t>AVOID</t>
        </is>
      </c>
    </row>
    <row r="388">
      <c r="A388" t="n">
        <v>387</v>
      </c>
      <c r="B388" t="inlineStr">
        <is>
          <t>NTCT</t>
        </is>
      </c>
      <c r="C388" t="inlineStr">
        <is>
          <t>2026-07-30</t>
        </is>
      </c>
      <c r="D388" t="n">
        <v>39.81</v>
      </c>
      <c r="E388" t="n">
        <v>27.73</v>
      </c>
      <c r="F388" t="n">
        <v>0.23</v>
      </c>
      <c r="G388" t="n">
        <v>18.13</v>
      </c>
      <c r="H388" t="n">
        <v>-11.22</v>
      </c>
      <c r="I388" t="n">
        <v>35</v>
      </c>
      <c r="J388" t="n">
        <v>25</v>
      </c>
      <c r="K388" t="n">
        <v>45</v>
      </c>
      <c r="L388" t="b">
        <v>0</v>
      </c>
      <c r="M388" t="b">
        <v>0</v>
      </c>
      <c r="N388" t="inlineStr">
        <is>
          <t>AVOID</t>
        </is>
      </c>
    </row>
    <row r="389">
      <c r="A389" t="n">
        <v>388</v>
      </c>
      <c r="B389" t="inlineStr">
        <is>
          <t>SPSC</t>
        </is>
      </c>
      <c r="C389" t="inlineStr">
        <is>
          <t>2026-07-30</t>
        </is>
      </c>
      <c r="D389" t="n">
        <v>65.91</v>
      </c>
      <c r="E389" t="n">
        <v>59.77</v>
      </c>
      <c r="F389" t="n">
        <v>0.5600000000000001</v>
      </c>
      <c r="G389" t="n">
        <v>17.44</v>
      </c>
      <c r="H389" t="n">
        <v>-52.77</v>
      </c>
      <c r="I389" t="n">
        <v>35</v>
      </c>
      <c r="J389" t="n">
        <v>45</v>
      </c>
      <c r="K389" t="n">
        <v>45</v>
      </c>
      <c r="L389" t="b">
        <v>0</v>
      </c>
      <c r="M389" t="b">
        <v>0</v>
      </c>
      <c r="N389" t="inlineStr">
        <is>
          <t>AVOID</t>
        </is>
      </c>
    </row>
    <row r="390">
      <c r="A390" t="n">
        <v>389</v>
      </c>
      <c r="B390" t="inlineStr">
        <is>
          <t>DOCU</t>
        </is>
      </c>
      <c r="C390" t="inlineStr">
        <is>
          <t>2026-07-30</t>
        </is>
      </c>
      <c r="D390" t="n">
        <v>53.95</v>
      </c>
      <c r="E390" t="n">
        <v>58.88</v>
      </c>
      <c r="F390" t="n">
        <v>1</v>
      </c>
      <c r="G390" t="n">
        <v>17.31</v>
      </c>
      <c r="H390" t="n">
        <v>-36.54</v>
      </c>
      <c r="I390" t="n">
        <v>35</v>
      </c>
      <c r="J390" t="n">
        <v>60</v>
      </c>
      <c r="K390" t="n">
        <v>45</v>
      </c>
      <c r="L390" t="b">
        <v>0</v>
      </c>
      <c r="M390" t="b">
        <v>0</v>
      </c>
      <c r="N390" t="inlineStr">
        <is>
          <t>AVOID</t>
        </is>
      </c>
    </row>
    <row r="391">
      <c r="A391" t="n">
        <v>390</v>
      </c>
      <c r="B391" t="inlineStr">
        <is>
          <t>CVLT</t>
        </is>
      </c>
      <c r="C391" t="inlineStr">
        <is>
          <t>2026-07-30</t>
        </is>
      </c>
      <c r="D391" t="n">
        <v>115.75</v>
      </c>
      <c r="E391" t="n">
        <v>21.52</v>
      </c>
      <c r="F391" t="n">
        <v>0.46</v>
      </c>
      <c r="G391" t="n">
        <v>17.07</v>
      </c>
      <c r="H391" t="n">
        <v>-40.76</v>
      </c>
      <c r="I391" t="n">
        <v>35</v>
      </c>
      <c r="J391" t="n">
        <v>25</v>
      </c>
      <c r="K391" t="n">
        <v>45</v>
      </c>
      <c r="L391" t="b">
        <v>0</v>
      </c>
      <c r="M391" t="b">
        <v>0</v>
      </c>
      <c r="N391" t="inlineStr">
        <is>
          <t>AVOID</t>
        </is>
      </c>
    </row>
    <row r="392">
      <c r="A392" t="n">
        <v>391</v>
      </c>
      <c r="B392" t="inlineStr">
        <is>
          <t>LRCX</t>
        </is>
      </c>
      <c r="C392" t="inlineStr">
        <is>
          <t>2026-07-30</t>
        </is>
      </c>
      <c r="D392" t="n">
        <v>300.42</v>
      </c>
      <c r="E392" t="n">
        <v>38.11</v>
      </c>
      <c r="F392" t="n">
        <v>1.22</v>
      </c>
      <c r="G392" t="n">
        <v>16.59</v>
      </c>
      <c r="H392" t="n">
        <v>-30.67</v>
      </c>
      <c r="I392" t="n">
        <v>25</v>
      </c>
      <c r="J392" t="n">
        <v>40</v>
      </c>
      <c r="K392" t="n">
        <v>45</v>
      </c>
      <c r="L392" t="b">
        <v>0</v>
      </c>
      <c r="M392" t="b">
        <v>0</v>
      </c>
      <c r="N392" t="inlineStr">
        <is>
          <t>AVOID</t>
        </is>
      </c>
    </row>
    <row r="393">
      <c r="A393" t="n">
        <v>392</v>
      </c>
      <c r="B393" t="inlineStr">
        <is>
          <t>PTCT</t>
        </is>
      </c>
      <c r="C393" t="inlineStr">
        <is>
          <t>2026-07-30</t>
        </is>
      </c>
      <c r="D393" t="n">
        <v>75.61</v>
      </c>
      <c r="E393" t="n">
        <v>17.6</v>
      </c>
      <c r="F393" t="n">
        <v>0.36</v>
      </c>
      <c r="G393" t="n">
        <v>16.22</v>
      </c>
      <c r="H393" t="n">
        <v>-15.57</v>
      </c>
      <c r="I393" t="n">
        <v>35</v>
      </c>
      <c r="J393" t="n">
        <v>25</v>
      </c>
      <c r="K393" t="n">
        <v>45</v>
      </c>
      <c r="L393" t="b">
        <v>0</v>
      </c>
      <c r="M393" t="b">
        <v>0</v>
      </c>
      <c r="N393" t="inlineStr">
        <is>
          <t>AVOID</t>
        </is>
      </c>
    </row>
    <row r="394">
      <c r="A394" t="n">
        <v>393</v>
      </c>
      <c r="B394" t="inlineStr">
        <is>
          <t>SGRY</t>
        </is>
      </c>
      <c r="C394" t="inlineStr">
        <is>
          <t>2026-07-30</t>
        </is>
      </c>
      <c r="D394" t="n">
        <v>15.96</v>
      </c>
      <c r="E394" t="n">
        <v>47.16</v>
      </c>
      <c r="F394" t="n">
        <v>0.36</v>
      </c>
      <c r="G394" t="n">
        <v>13.76</v>
      </c>
      <c r="H394" t="n">
        <v>-33.05</v>
      </c>
      <c r="I394" t="n">
        <v>35</v>
      </c>
      <c r="J394" t="n">
        <v>85</v>
      </c>
      <c r="K394" t="n">
        <v>45</v>
      </c>
      <c r="L394" t="b">
        <v>0</v>
      </c>
      <c r="M394" t="b">
        <v>0</v>
      </c>
      <c r="N394" t="inlineStr">
        <is>
          <t>AVOID</t>
        </is>
      </c>
    </row>
    <row r="395">
      <c r="A395" t="n">
        <v>394</v>
      </c>
      <c r="B395" t="inlineStr">
        <is>
          <t>OTEX</t>
        </is>
      </c>
      <c r="C395" t="inlineStr">
        <is>
          <t>2026-07-30</t>
        </is>
      </c>
      <c r="D395" t="n">
        <v>25.3</v>
      </c>
      <c r="E395" t="n">
        <v>61.93</v>
      </c>
      <c r="F395" t="n">
        <v>0.92</v>
      </c>
      <c r="G395" t="n">
        <v>12.94</v>
      </c>
      <c r="H395" t="n">
        <v>-34.29</v>
      </c>
      <c r="I395" t="n">
        <v>35</v>
      </c>
      <c r="J395" t="n">
        <v>45</v>
      </c>
      <c r="K395" t="n">
        <v>45</v>
      </c>
      <c r="L395" t="b">
        <v>0</v>
      </c>
      <c r="M395" t="b">
        <v>0</v>
      </c>
      <c r="N395" t="inlineStr">
        <is>
          <t>AVOID</t>
        </is>
      </c>
    </row>
    <row r="396">
      <c r="A396" t="n">
        <v>395</v>
      </c>
      <c r="B396" t="inlineStr">
        <is>
          <t>ZS</t>
        </is>
      </c>
      <c r="C396" t="inlineStr">
        <is>
          <t>2026-07-30</t>
        </is>
      </c>
      <c r="D396" t="n">
        <v>147.57</v>
      </c>
      <c r="E396" t="n">
        <v>57.9</v>
      </c>
      <c r="F396" t="n">
        <v>0.83</v>
      </c>
      <c r="G396" t="n">
        <v>12.92</v>
      </c>
      <c r="H396" t="n">
        <v>-56.12</v>
      </c>
      <c r="I396" t="n">
        <v>35</v>
      </c>
      <c r="J396" t="n">
        <v>60</v>
      </c>
      <c r="K396" t="n">
        <v>45</v>
      </c>
      <c r="L396" t="b">
        <v>0</v>
      </c>
      <c r="M396" t="b">
        <v>0</v>
      </c>
      <c r="N396" t="inlineStr">
        <is>
          <t>AVOID</t>
        </is>
      </c>
    </row>
    <row r="397">
      <c r="A397" t="n">
        <v>396</v>
      </c>
      <c r="B397" t="inlineStr">
        <is>
          <t>ICHR</t>
        </is>
      </c>
      <c r="C397" t="inlineStr">
        <is>
          <t>2026-07-30</t>
        </is>
      </c>
      <c r="D397" t="n">
        <v>74.31999999999999</v>
      </c>
      <c r="E397" t="n">
        <v>34.71</v>
      </c>
      <c r="F397" t="n">
        <v>0.58</v>
      </c>
      <c r="G397" t="n">
        <v>12.66</v>
      </c>
      <c r="H397" t="n">
        <v>-33.81</v>
      </c>
      <c r="I397" t="n">
        <v>35</v>
      </c>
      <c r="J397" t="n">
        <v>25</v>
      </c>
      <c r="K397" t="n">
        <v>45</v>
      </c>
      <c r="L397" t="b">
        <v>0</v>
      </c>
      <c r="M397" t="b">
        <v>0</v>
      </c>
      <c r="N397" t="inlineStr">
        <is>
          <t>AVOID</t>
        </is>
      </c>
    </row>
    <row r="398">
      <c r="A398" t="n">
        <v>397</v>
      </c>
      <c r="B398" t="inlineStr">
        <is>
          <t>AFRM</t>
        </is>
      </c>
      <c r="C398" t="inlineStr">
        <is>
          <t>2026-07-30</t>
        </is>
      </c>
      <c r="D398" t="n">
        <v>72.42</v>
      </c>
      <c r="E398" t="n">
        <v>29.09</v>
      </c>
      <c r="F398" t="n">
        <v>0.51</v>
      </c>
      <c r="G398" t="n">
        <v>12.66</v>
      </c>
      <c r="H398" t="n">
        <v>-21.44</v>
      </c>
      <c r="I398" t="n">
        <v>35</v>
      </c>
      <c r="J398" t="n">
        <v>25</v>
      </c>
      <c r="K398" t="n">
        <v>45</v>
      </c>
      <c r="L398" t="b">
        <v>0</v>
      </c>
      <c r="M398" t="b">
        <v>0</v>
      </c>
      <c r="N398" t="inlineStr">
        <is>
          <t>AVOID</t>
        </is>
      </c>
    </row>
    <row r="399">
      <c r="A399" t="n">
        <v>398</v>
      </c>
      <c r="B399" t="inlineStr">
        <is>
          <t>FDMT</t>
        </is>
      </c>
      <c r="C399" t="inlineStr">
        <is>
          <t>2026-07-30</t>
        </is>
      </c>
      <c r="D399" t="n">
        <v>9.98</v>
      </c>
      <c r="E399" t="n">
        <v>29.05</v>
      </c>
      <c r="F399" t="n">
        <v>0.41</v>
      </c>
      <c r="G399" t="n">
        <v>12.51</v>
      </c>
      <c r="H399" t="n">
        <v>-24.96</v>
      </c>
      <c r="I399" t="n">
        <v>35</v>
      </c>
      <c r="J399" t="n">
        <v>25</v>
      </c>
      <c r="K399" t="n">
        <v>45</v>
      </c>
      <c r="L399" t="b">
        <v>0</v>
      </c>
      <c r="M399" t="b">
        <v>0</v>
      </c>
      <c r="N399" t="inlineStr">
        <is>
          <t>AVOID</t>
        </is>
      </c>
    </row>
    <row r="400">
      <c r="A400" t="n">
        <v>399</v>
      </c>
      <c r="B400" t="inlineStr">
        <is>
          <t>TBBK</t>
        </is>
      </c>
      <c r="C400" t="inlineStr">
        <is>
          <t>2026-07-30</t>
        </is>
      </c>
      <c r="D400" t="n">
        <v>65.79000000000001</v>
      </c>
      <c r="E400" t="n">
        <v>47.35</v>
      </c>
      <c r="F400" t="n">
        <v>1.25</v>
      </c>
      <c r="G400" t="n">
        <v>9.970000000000001</v>
      </c>
      <c r="H400" t="n">
        <v>-18.1</v>
      </c>
      <c r="I400" t="n">
        <v>35</v>
      </c>
      <c r="J400" t="n">
        <v>100</v>
      </c>
      <c r="K400" t="n">
        <v>45</v>
      </c>
      <c r="L400" t="b">
        <v>0</v>
      </c>
      <c r="M400" t="b">
        <v>0</v>
      </c>
      <c r="N400" t="inlineStr">
        <is>
          <t>AVOID</t>
        </is>
      </c>
    </row>
    <row r="401">
      <c r="A401" t="n">
        <v>400</v>
      </c>
      <c r="B401" t="inlineStr">
        <is>
          <t>SEER</t>
        </is>
      </c>
      <c r="C401" t="inlineStr">
        <is>
          <t>2026-07-30</t>
        </is>
      </c>
      <c r="D401" t="n">
        <v>2.11</v>
      </c>
      <c r="E401" t="n">
        <v>45</v>
      </c>
      <c r="F401" t="n">
        <v>0.25</v>
      </c>
      <c r="G401" t="n">
        <v>8.210000000000001</v>
      </c>
      <c r="H401" t="n">
        <v>-10.97</v>
      </c>
      <c r="I401" t="n">
        <v>45</v>
      </c>
      <c r="J401" t="n">
        <v>60</v>
      </c>
      <c r="K401" t="n">
        <v>45</v>
      </c>
      <c r="L401" t="b">
        <v>0</v>
      </c>
      <c r="M401" t="b">
        <v>0</v>
      </c>
      <c r="N401" t="inlineStr">
        <is>
          <t>AVOID</t>
        </is>
      </c>
    </row>
    <row r="402">
      <c r="A402" t="n">
        <v>401</v>
      </c>
      <c r="B402" t="inlineStr">
        <is>
          <t>ASND</t>
        </is>
      </c>
      <c r="C402" t="inlineStr">
        <is>
          <t>2026-07-30</t>
        </is>
      </c>
      <c r="D402" t="n">
        <v>247.94</v>
      </c>
      <c r="E402" t="n">
        <v>24.65</v>
      </c>
      <c r="F402" t="n">
        <v>0.41</v>
      </c>
      <c r="G402" t="n">
        <v>8.09</v>
      </c>
      <c r="H402" t="n">
        <v>-10.55</v>
      </c>
      <c r="I402" t="n">
        <v>45</v>
      </c>
      <c r="J402" t="n">
        <v>45</v>
      </c>
      <c r="K402" t="n">
        <v>45</v>
      </c>
      <c r="L402" t="b">
        <v>0</v>
      </c>
      <c r="M402" t="b">
        <v>0</v>
      </c>
      <c r="N402" t="inlineStr">
        <is>
          <t>AVOID</t>
        </is>
      </c>
    </row>
    <row r="403">
      <c r="A403" t="n">
        <v>402</v>
      </c>
      <c r="B403" t="inlineStr">
        <is>
          <t>AMBA</t>
        </is>
      </c>
      <c r="C403" t="inlineStr">
        <is>
          <t>2026-07-30</t>
        </is>
      </c>
      <c r="D403" t="n">
        <v>73.14</v>
      </c>
      <c r="E403" t="n">
        <v>44.54</v>
      </c>
      <c r="F403" t="n">
        <v>0.55</v>
      </c>
      <c r="G403" t="n">
        <v>6.32</v>
      </c>
      <c r="H403" t="n">
        <v>-23.42</v>
      </c>
      <c r="I403" t="n">
        <v>45</v>
      </c>
      <c r="J403" t="n">
        <v>60</v>
      </c>
      <c r="K403" t="n">
        <v>45</v>
      </c>
      <c r="L403" t="b">
        <v>0</v>
      </c>
      <c r="M403" t="b">
        <v>0</v>
      </c>
      <c r="N403" t="inlineStr">
        <is>
          <t>AVOID</t>
        </is>
      </c>
    </row>
    <row r="404">
      <c r="A404" t="n">
        <v>403</v>
      </c>
      <c r="B404" t="inlineStr">
        <is>
          <t>INMD</t>
        </is>
      </c>
      <c r="C404" t="inlineStr">
        <is>
          <t>2026-07-30</t>
        </is>
      </c>
      <c r="D404" t="n">
        <v>15.08</v>
      </c>
      <c r="E404" t="n">
        <v>45.67</v>
      </c>
      <c r="F404" t="n">
        <v>0.72</v>
      </c>
      <c r="G404" t="n">
        <v>4.22</v>
      </c>
      <c r="H404" t="n">
        <v>-9.27</v>
      </c>
      <c r="I404" t="n">
        <v>35</v>
      </c>
      <c r="J404" t="n">
        <v>85</v>
      </c>
      <c r="K404" t="n">
        <v>45</v>
      </c>
      <c r="L404" t="b">
        <v>0</v>
      </c>
      <c r="M404" t="b">
        <v>0</v>
      </c>
      <c r="N404" t="inlineStr">
        <is>
          <t>AVOID</t>
        </is>
      </c>
    </row>
    <row r="405">
      <c r="A405" t="n">
        <v>404</v>
      </c>
      <c r="B405" t="inlineStr">
        <is>
          <t>WAFD</t>
        </is>
      </c>
      <c r="C405" t="inlineStr">
        <is>
          <t>2026-07-30</t>
        </is>
      </c>
      <c r="D405" t="n">
        <v>36.56</v>
      </c>
      <c r="E405" t="n">
        <v>35.19</v>
      </c>
      <c r="F405" t="n">
        <v>0.41</v>
      </c>
      <c r="G405" t="n">
        <v>4.07</v>
      </c>
      <c r="H405" t="n">
        <v>-7.02</v>
      </c>
      <c r="I405" t="n">
        <v>35</v>
      </c>
      <c r="J405" t="n">
        <v>40</v>
      </c>
      <c r="K405" t="n">
        <v>45</v>
      </c>
      <c r="L405" t="b">
        <v>0</v>
      </c>
      <c r="M405" t="b">
        <v>0</v>
      </c>
      <c r="N405" t="inlineStr">
        <is>
          <t>AVOID</t>
        </is>
      </c>
    </row>
    <row r="406">
      <c r="A406" t="n">
        <v>405</v>
      </c>
      <c r="B406" t="inlineStr">
        <is>
          <t>MAR</t>
        </is>
      </c>
      <c r="C406" t="inlineStr">
        <is>
          <t>2026-07-30</t>
        </is>
      </c>
      <c r="D406" t="n">
        <v>375.05</v>
      </c>
      <c r="E406" t="n">
        <v>49.16</v>
      </c>
      <c r="F406" t="n">
        <v>0.65</v>
      </c>
      <c r="G406" t="n">
        <v>3.9</v>
      </c>
      <c r="H406" t="n">
        <v>-6.83</v>
      </c>
      <c r="I406" t="n">
        <v>35</v>
      </c>
      <c r="J406" t="n">
        <v>65</v>
      </c>
      <c r="K406" t="n">
        <v>45</v>
      </c>
      <c r="L406" t="b">
        <v>0</v>
      </c>
      <c r="M406" t="b">
        <v>0</v>
      </c>
      <c r="N406" t="inlineStr">
        <is>
          <t>AVOID</t>
        </is>
      </c>
    </row>
    <row r="407">
      <c r="A407" t="n">
        <v>406</v>
      </c>
      <c r="B407" t="inlineStr">
        <is>
          <t>FHB</t>
        </is>
      </c>
      <c r="C407" t="inlineStr">
        <is>
          <t>2026-07-30</t>
        </is>
      </c>
      <c r="D407" t="n">
        <v>28</v>
      </c>
      <c r="E407" t="n">
        <v>30.64</v>
      </c>
      <c r="F407" t="n">
        <v>0.29</v>
      </c>
      <c r="G407" t="n">
        <v>3.64</v>
      </c>
      <c r="H407" t="n">
        <v>-7.73</v>
      </c>
      <c r="I407" t="n">
        <v>35</v>
      </c>
      <c r="J407" t="n">
        <v>25</v>
      </c>
      <c r="K407" t="n">
        <v>45</v>
      </c>
      <c r="L407" t="b">
        <v>0</v>
      </c>
      <c r="M407" t="b">
        <v>0</v>
      </c>
      <c r="N407" t="inlineStr">
        <is>
          <t>AVOID</t>
        </is>
      </c>
    </row>
    <row r="408">
      <c r="A408" t="n">
        <v>407</v>
      </c>
      <c r="B408" t="inlineStr">
        <is>
          <t>MKSI</t>
        </is>
      </c>
      <c r="C408" t="inlineStr">
        <is>
          <t>2026-07-30</t>
        </is>
      </c>
      <c r="D408" t="n">
        <v>293.77</v>
      </c>
      <c r="E408" t="n">
        <v>31.59</v>
      </c>
      <c r="F408" t="n">
        <v>1.58</v>
      </c>
      <c r="G408" t="n">
        <v>3.61</v>
      </c>
      <c r="H408" t="n">
        <v>-33.95</v>
      </c>
      <c r="I408" t="n">
        <v>25</v>
      </c>
      <c r="J408" t="n">
        <v>40</v>
      </c>
      <c r="K408" t="n">
        <v>45</v>
      </c>
      <c r="L408" t="b">
        <v>0</v>
      </c>
      <c r="M408" t="b">
        <v>0</v>
      </c>
      <c r="N408" t="inlineStr">
        <is>
          <t>AVOID</t>
        </is>
      </c>
    </row>
    <row r="409">
      <c r="A409" t="n">
        <v>408</v>
      </c>
      <c r="B409" t="inlineStr">
        <is>
          <t>HUBG</t>
        </is>
      </c>
      <c r="C409" t="inlineStr">
        <is>
          <t>2026-07-30</t>
        </is>
      </c>
      <c r="D409" t="n">
        <v>45.05</v>
      </c>
      <c r="E409" t="n">
        <v>45.81</v>
      </c>
      <c r="F409" t="n">
        <v>1.43</v>
      </c>
      <c r="G409" t="n">
        <v>3.08</v>
      </c>
      <c r="H409" t="n">
        <v>-13.68</v>
      </c>
      <c r="I409" t="n">
        <v>35</v>
      </c>
      <c r="J409" t="n">
        <v>65</v>
      </c>
      <c r="K409" t="n">
        <v>45</v>
      </c>
      <c r="L409" t="b">
        <v>0</v>
      </c>
      <c r="M409" t="b">
        <v>0</v>
      </c>
      <c r="N409" t="inlineStr">
        <is>
          <t>AVOID</t>
        </is>
      </c>
    </row>
    <row r="410">
      <c r="A410" t="n">
        <v>409</v>
      </c>
      <c r="B410" t="inlineStr">
        <is>
          <t>HBAN</t>
        </is>
      </c>
      <c r="C410" t="inlineStr">
        <is>
          <t>2026-07-30</t>
        </is>
      </c>
      <c r="D410" t="n">
        <v>17.08</v>
      </c>
      <c r="E410" t="n">
        <v>38.75</v>
      </c>
      <c r="F410" t="n">
        <v>0.59</v>
      </c>
      <c r="G410" t="n">
        <v>2.83</v>
      </c>
      <c r="H410" t="n">
        <v>-9.65</v>
      </c>
      <c r="I410" t="n">
        <v>35</v>
      </c>
      <c r="J410" t="n">
        <v>25</v>
      </c>
      <c r="K410" t="n">
        <v>45</v>
      </c>
      <c r="L410" t="b">
        <v>0</v>
      </c>
      <c r="M410" t="b">
        <v>0</v>
      </c>
      <c r="N410" t="inlineStr">
        <is>
          <t>AVOID</t>
        </is>
      </c>
    </row>
    <row r="411">
      <c r="A411" t="n">
        <v>410</v>
      </c>
      <c r="B411" t="inlineStr">
        <is>
          <t>BHF</t>
        </is>
      </c>
      <c r="C411" t="inlineStr">
        <is>
          <t>2026-07-30</t>
        </is>
      </c>
      <c r="D411" t="n">
        <v>63.15</v>
      </c>
      <c r="E411" t="n">
        <v>31.8</v>
      </c>
      <c r="F411" t="n">
        <v>0.49</v>
      </c>
      <c r="G411" t="n">
        <v>1.44</v>
      </c>
      <c r="H411" t="n">
        <v>-5.19</v>
      </c>
      <c r="I411" t="n">
        <v>35</v>
      </c>
      <c r="J411" t="n">
        <v>40</v>
      </c>
      <c r="K411" t="n">
        <v>45</v>
      </c>
      <c r="L411" t="b">
        <v>0</v>
      </c>
      <c r="M411" t="b">
        <v>0</v>
      </c>
      <c r="N411" t="inlineStr">
        <is>
          <t>AVOID</t>
        </is>
      </c>
    </row>
    <row r="412">
      <c r="A412" t="n">
        <v>411</v>
      </c>
      <c r="B412" t="inlineStr">
        <is>
          <t>GBCI</t>
        </is>
      </c>
      <c r="C412" t="inlineStr">
        <is>
          <t>2026-07-30</t>
        </is>
      </c>
      <c r="D412" t="n">
        <v>49.1</v>
      </c>
      <c r="E412" t="n">
        <v>38.09</v>
      </c>
      <c r="F412" t="n">
        <v>0.41</v>
      </c>
      <c r="G412" t="n">
        <v>0.73</v>
      </c>
      <c r="H412" t="n">
        <v>-9.92</v>
      </c>
      <c r="I412" t="n">
        <v>35</v>
      </c>
      <c r="J412" t="n">
        <v>25</v>
      </c>
      <c r="K412" t="n">
        <v>45</v>
      </c>
      <c r="L412" t="b">
        <v>0</v>
      </c>
      <c r="M412" t="b">
        <v>0</v>
      </c>
      <c r="N412" t="inlineStr">
        <is>
          <t>AVOID</t>
        </is>
      </c>
    </row>
    <row r="413">
      <c r="A413" t="n">
        <v>412</v>
      </c>
      <c r="B413" t="inlineStr">
        <is>
          <t>ALGN</t>
        </is>
      </c>
      <c r="C413" t="inlineStr">
        <is>
          <t>2026-07-30</t>
        </is>
      </c>
      <c r="D413" t="n">
        <v>173.7</v>
      </c>
      <c r="E413" t="n">
        <v>43.56</v>
      </c>
      <c r="F413" t="n">
        <v>1.05</v>
      </c>
      <c r="G413" t="n">
        <v>-1.31</v>
      </c>
      <c r="H413" t="n">
        <v>-14.67</v>
      </c>
      <c r="I413" t="n">
        <v>45</v>
      </c>
      <c r="J413" t="n">
        <v>75</v>
      </c>
      <c r="K413" t="n">
        <v>45</v>
      </c>
      <c r="L413" t="b">
        <v>0</v>
      </c>
      <c r="M413" t="b">
        <v>0</v>
      </c>
      <c r="N413" t="inlineStr">
        <is>
          <t>AVOID</t>
        </is>
      </c>
    </row>
    <row r="414">
      <c r="A414" t="n">
        <v>413</v>
      </c>
      <c r="B414" t="inlineStr">
        <is>
          <t>TCBI</t>
        </is>
      </c>
      <c r="C414" t="inlineStr">
        <is>
          <t>2026-07-30</t>
        </is>
      </c>
      <c r="D414" t="n">
        <v>98.95</v>
      </c>
      <c r="E414" t="n">
        <v>40.68</v>
      </c>
      <c r="F414" t="n">
        <v>0.44</v>
      </c>
      <c r="G414" t="n">
        <v>-1.54</v>
      </c>
      <c r="H414" t="n">
        <v>-8.16</v>
      </c>
      <c r="I414" t="n">
        <v>35</v>
      </c>
      <c r="J414" t="n">
        <v>25</v>
      </c>
      <c r="K414" t="n">
        <v>45</v>
      </c>
      <c r="L414" t="b">
        <v>0</v>
      </c>
      <c r="M414" t="b">
        <v>0</v>
      </c>
      <c r="N414" t="inlineStr">
        <is>
          <t>AVOID</t>
        </is>
      </c>
    </row>
    <row r="415">
      <c r="A415" t="n">
        <v>414</v>
      </c>
      <c r="B415" t="inlineStr">
        <is>
          <t>EQIX</t>
        </is>
      </c>
      <c r="C415" t="inlineStr">
        <is>
          <t>2026-07-30</t>
        </is>
      </c>
      <c r="D415" t="n">
        <v>1049.55</v>
      </c>
      <c r="E415" t="n">
        <v>49.65</v>
      </c>
      <c r="F415" t="n">
        <v>1.06</v>
      </c>
      <c r="G415" t="n">
        <v>-2.59</v>
      </c>
      <c r="H415" t="n">
        <v>-5.95</v>
      </c>
      <c r="I415" t="n">
        <v>35</v>
      </c>
      <c r="J415" t="n">
        <v>80</v>
      </c>
      <c r="K415" t="n">
        <v>45</v>
      </c>
      <c r="L415" t="b">
        <v>0</v>
      </c>
      <c r="M415" t="b">
        <v>0</v>
      </c>
      <c r="N415" t="inlineStr">
        <is>
          <t>AVOID</t>
        </is>
      </c>
    </row>
    <row r="416">
      <c r="A416" t="n">
        <v>415</v>
      </c>
      <c r="B416" t="inlineStr">
        <is>
          <t>PCVX</t>
        </is>
      </c>
      <c r="C416" t="inlineStr">
        <is>
          <t>2026-07-30</t>
        </is>
      </c>
      <c r="D416" t="n">
        <v>55.68</v>
      </c>
      <c r="E416" t="n">
        <v>42.13</v>
      </c>
      <c r="F416" t="n">
        <v>0.45</v>
      </c>
      <c r="G416" t="n">
        <v>-2.73</v>
      </c>
      <c r="H416" t="n">
        <v>-11.68</v>
      </c>
      <c r="I416" t="n">
        <v>45</v>
      </c>
      <c r="J416" t="n">
        <v>60</v>
      </c>
      <c r="K416" t="n">
        <v>45</v>
      </c>
      <c r="L416" t="b">
        <v>0</v>
      </c>
      <c r="M416" t="b">
        <v>0</v>
      </c>
      <c r="N416" t="inlineStr">
        <is>
          <t>AVOID</t>
        </is>
      </c>
    </row>
    <row r="417">
      <c r="A417" t="n">
        <v>416</v>
      </c>
      <c r="B417" t="inlineStr">
        <is>
          <t>SWBI</t>
        </is>
      </c>
      <c r="C417" t="inlineStr">
        <is>
          <t>2026-07-30</t>
        </is>
      </c>
      <c r="D417" t="n">
        <v>14.93</v>
      </c>
      <c r="E417" t="n">
        <v>41.34</v>
      </c>
      <c r="F417" t="n">
        <v>0.54</v>
      </c>
      <c r="G417" t="n">
        <v>-3.09</v>
      </c>
      <c r="H417" t="n">
        <v>-9.66</v>
      </c>
      <c r="I417" t="n">
        <v>35</v>
      </c>
      <c r="J417" t="n">
        <v>40</v>
      </c>
      <c r="K417" t="n">
        <v>45</v>
      </c>
      <c r="L417" t="b">
        <v>0</v>
      </c>
      <c r="M417" t="b">
        <v>0</v>
      </c>
      <c r="N417" t="inlineStr">
        <is>
          <t>AVOID</t>
        </is>
      </c>
    </row>
    <row r="418">
      <c r="A418" t="n">
        <v>417</v>
      </c>
      <c r="B418" t="inlineStr">
        <is>
          <t>PLXS</t>
        </is>
      </c>
      <c r="C418" t="inlineStr">
        <is>
          <t>2026-07-30</t>
        </is>
      </c>
      <c r="D418" t="n">
        <v>242.55</v>
      </c>
      <c r="E418" t="n">
        <v>29.43</v>
      </c>
      <c r="F418" t="n">
        <v>1.79</v>
      </c>
      <c r="G418" t="n">
        <v>-3.2</v>
      </c>
      <c r="H418" t="n">
        <v>-20.16</v>
      </c>
      <c r="I418" t="n">
        <v>25</v>
      </c>
      <c r="J418" t="n">
        <v>40</v>
      </c>
      <c r="K418" t="n">
        <v>45</v>
      </c>
      <c r="L418" t="b">
        <v>0</v>
      </c>
      <c r="M418" t="b">
        <v>0</v>
      </c>
      <c r="N418" t="inlineStr">
        <is>
          <t>AVOID</t>
        </is>
      </c>
    </row>
    <row r="419">
      <c r="A419" t="n">
        <v>418</v>
      </c>
      <c r="B419" t="inlineStr">
        <is>
          <t>LNT</t>
        </is>
      </c>
      <c r="C419" t="inlineStr">
        <is>
          <t>2026-07-30</t>
        </is>
      </c>
      <c r="D419" t="n">
        <v>71.04000000000001</v>
      </c>
      <c r="E419" t="n">
        <v>27.45</v>
      </c>
      <c r="F419" t="n">
        <v>0.75</v>
      </c>
      <c r="G419" t="n">
        <v>-3.25</v>
      </c>
      <c r="H419" t="n">
        <v>-8.949999999999999</v>
      </c>
      <c r="I419" t="n">
        <v>35</v>
      </c>
      <c r="J419" t="n">
        <v>25</v>
      </c>
      <c r="K419" t="n">
        <v>45</v>
      </c>
      <c r="L419" t="b">
        <v>0</v>
      </c>
      <c r="M419" t="b">
        <v>0</v>
      </c>
      <c r="N419" t="inlineStr">
        <is>
          <t>AVOID</t>
        </is>
      </c>
    </row>
    <row r="420">
      <c r="A420" t="n">
        <v>419</v>
      </c>
      <c r="B420" t="inlineStr">
        <is>
          <t>AEP</t>
        </is>
      </c>
      <c r="C420" t="inlineStr">
        <is>
          <t>2026-07-30</t>
        </is>
      </c>
      <c r="D420" t="n">
        <v>127.86</v>
      </c>
      <c r="E420" t="n">
        <v>30.44</v>
      </c>
      <c r="F420" t="n">
        <v>0.85</v>
      </c>
      <c r="G420" t="n">
        <v>-6.07</v>
      </c>
      <c r="H420" t="n">
        <v>-7.81</v>
      </c>
      <c r="I420" t="n">
        <v>35</v>
      </c>
      <c r="J420" t="n">
        <v>25</v>
      </c>
      <c r="K420" t="n">
        <v>45</v>
      </c>
      <c r="L420" t="b">
        <v>0</v>
      </c>
      <c r="M420" t="b">
        <v>0</v>
      </c>
      <c r="N420" t="inlineStr">
        <is>
          <t>AVOID</t>
        </is>
      </c>
    </row>
    <row r="421">
      <c r="A421" t="n">
        <v>420</v>
      </c>
      <c r="B421" t="inlineStr">
        <is>
          <t>ALLO</t>
        </is>
      </c>
      <c r="C421" t="inlineStr">
        <is>
          <t>2026-07-30</t>
        </is>
      </c>
      <c r="D421" t="n">
        <v>1.98</v>
      </c>
      <c r="E421" t="n">
        <v>49.02</v>
      </c>
      <c r="F421" t="n">
        <v>1.1</v>
      </c>
      <c r="G421" t="n">
        <v>-6.99</v>
      </c>
      <c r="H421" t="n">
        <v>-35.26</v>
      </c>
      <c r="I421" t="n">
        <v>45</v>
      </c>
      <c r="J421" t="n">
        <v>85</v>
      </c>
      <c r="K421" t="n">
        <v>45</v>
      </c>
      <c r="L421" t="b">
        <v>0</v>
      </c>
      <c r="M421" t="b">
        <v>0</v>
      </c>
      <c r="N421" t="inlineStr">
        <is>
          <t>AVOID</t>
        </is>
      </c>
    </row>
    <row r="422">
      <c r="A422" t="n">
        <v>421</v>
      </c>
      <c r="B422" t="inlineStr">
        <is>
          <t>LSTR</t>
        </is>
      </c>
      <c r="C422" t="inlineStr">
        <is>
          <t>2026-07-30</t>
        </is>
      </c>
      <c r="D422" t="n">
        <v>169.31</v>
      </c>
      <c r="E422" t="n">
        <v>17.35</v>
      </c>
      <c r="F422" t="n">
        <v>1.62</v>
      </c>
      <c r="G422" t="n">
        <v>-7.81</v>
      </c>
      <c r="H422" t="n">
        <v>-24.88</v>
      </c>
      <c r="I422" t="n">
        <v>25</v>
      </c>
      <c r="J422" t="n">
        <v>40</v>
      </c>
      <c r="K422" t="n">
        <v>45</v>
      </c>
      <c r="L422" t="b">
        <v>0</v>
      </c>
      <c r="M422" t="b">
        <v>0</v>
      </c>
      <c r="N422" t="inlineStr">
        <is>
          <t>AVOID</t>
        </is>
      </c>
    </row>
    <row r="423">
      <c r="A423" t="n">
        <v>422</v>
      </c>
      <c r="B423" t="inlineStr">
        <is>
          <t>OPRT</t>
        </is>
      </c>
      <c r="C423" t="inlineStr">
        <is>
          <t>2026-07-30</t>
        </is>
      </c>
      <c r="D423" t="n">
        <v>5.58</v>
      </c>
      <c r="E423" t="n">
        <v>42.86</v>
      </c>
      <c r="F423" t="n">
        <v>0.55</v>
      </c>
      <c r="G423" t="n">
        <v>-8.369999999999999</v>
      </c>
      <c r="H423" t="n">
        <v>-21.41</v>
      </c>
      <c r="I423" t="n">
        <v>45</v>
      </c>
      <c r="J423" t="n">
        <v>45</v>
      </c>
      <c r="K423" t="n">
        <v>45</v>
      </c>
      <c r="L423" t="b">
        <v>0</v>
      </c>
      <c r="M423" t="b">
        <v>0</v>
      </c>
      <c r="N423" t="inlineStr">
        <is>
          <t>AVOID</t>
        </is>
      </c>
    </row>
    <row r="424">
      <c r="A424" t="n">
        <v>423</v>
      </c>
      <c r="B424" t="inlineStr">
        <is>
          <t>AVIR</t>
        </is>
      </c>
      <c r="C424" t="inlineStr">
        <is>
          <t>2026-07-30</t>
        </is>
      </c>
      <c r="D424" t="n">
        <v>4.78</v>
      </c>
      <c r="E424" t="n">
        <v>44</v>
      </c>
      <c r="F424" t="n">
        <v>0.9</v>
      </c>
      <c r="G424" t="n">
        <v>-13.25</v>
      </c>
      <c r="H424" t="n">
        <v>-22.28</v>
      </c>
      <c r="I424" t="n">
        <v>45</v>
      </c>
      <c r="J424" t="n">
        <v>60</v>
      </c>
      <c r="K424" t="n">
        <v>45</v>
      </c>
      <c r="L424" t="b">
        <v>0</v>
      </c>
      <c r="M424" t="b">
        <v>0</v>
      </c>
      <c r="N424" t="inlineStr">
        <is>
          <t>AVOID</t>
        </is>
      </c>
    </row>
    <row r="425">
      <c r="A425" t="n">
        <v>424</v>
      </c>
      <c r="B425" t="inlineStr">
        <is>
          <t>PRAA</t>
        </is>
      </c>
      <c r="C425" t="inlineStr">
        <is>
          <t>2026-07-30</t>
        </is>
      </c>
      <c r="D425" t="n">
        <v>17.23</v>
      </c>
      <c r="E425" t="n">
        <v>39.67</v>
      </c>
      <c r="F425" t="n">
        <v>0.27</v>
      </c>
      <c r="G425" t="n">
        <v>-20.95</v>
      </c>
      <c r="H425" t="n">
        <v>-22.51</v>
      </c>
      <c r="I425" t="n">
        <v>45</v>
      </c>
      <c r="J425" t="n">
        <v>45</v>
      </c>
      <c r="K425" t="n">
        <v>45</v>
      </c>
      <c r="L425" t="b">
        <v>0</v>
      </c>
      <c r="M425" t="b">
        <v>0</v>
      </c>
      <c r="N425" t="inlineStr">
        <is>
          <t>AVOID</t>
        </is>
      </c>
    </row>
    <row r="426">
      <c r="A426" t="n">
        <v>425</v>
      </c>
      <c r="B426" t="inlineStr">
        <is>
          <t>UNIT</t>
        </is>
      </c>
      <c r="C426" t="inlineStr">
        <is>
          <t>2026-07-30</t>
        </is>
      </c>
      <c r="D426" t="n">
        <v>9.32</v>
      </c>
      <c r="E426" t="n">
        <v>22.59</v>
      </c>
      <c r="F426" t="n">
        <v>1.63</v>
      </c>
      <c r="G426" t="n">
        <v>-21.17</v>
      </c>
      <c r="H426" t="n">
        <v>-26.86</v>
      </c>
      <c r="I426" t="n">
        <v>25</v>
      </c>
      <c r="J426" t="n">
        <v>40</v>
      </c>
      <c r="K426" t="n">
        <v>45</v>
      </c>
      <c r="L426" t="b">
        <v>0</v>
      </c>
      <c r="M426" t="b">
        <v>0</v>
      </c>
      <c r="N426" t="inlineStr">
        <is>
          <t>AVOID</t>
        </is>
      </c>
    </row>
    <row r="427">
      <c r="A427" t="n">
        <v>426</v>
      </c>
      <c r="B427" t="inlineStr">
        <is>
          <t>TER</t>
        </is>
      </c>
      <c r="C427" t="inlineStr">
        <is>
          <t>2026-07-30</t>
        </is>
      </c>
      <c r="D427" t="n">
        <v>367.52</v>
      </c>
      <c r="E427" t="n">
        <v>51.76</v>
      </c>
      <c r="F427" t="n">
        <v>1.09</v>
      </c>
      <c r="G427" t="n">
        <v>7.04</v>
      </c>
      <c r="H427" t="n">
        <v>-24.04</v>
      </c>
      <c r="I427" t="n">
        <v>40</v>
      </c>
      <c r="J427" t="n">
        <v>65</v>
      </c>
      <c r="K427" t="n">
        <v>40</v>
      </c>
      <c r="L427" t="b">
        <v>0</v>
      </c>
      <c r="M427" t="b">
        <v>0</v>
      </c>
      <c r="N427" t="inlineStr">
        <is>
          <t>AVOID</t>
        </is>
      </c>
    </row>
    <row r="428">
      <c r="A428" t="n">
        <v>427</v>
      </c>
      <c r="B428" t="inlineStr">
        <is>
          <t>GILD</t>
        </is>
      </c>
      <c r="C428" t="inlineStr">
        <is>
          <t>2026-07-30</t>
        </is>
      </c>
      <c r="D428" t="n">
        <v>131.02</v>
      </c>
      <c r="E428" t="n">
        <v>52.32</v>
      </c>
      <c r="F428" t="n">
        <v>0.55</v>
      </c>
      <c r="G428" t="n">
        <v>0.8</v>
      </c>
      <c r="H428" t="n">
        <v>-14.87</v>
      </c>
      <c r="I428" t="n">
        <v>40</v>
      </c>
      <c r="J428" t="n">
        <v>85</v>
      </c>
      <c r="K428" t="n">
        <v>40</v>
      </c>
      <c r="L428" t="b">
        <v>0</v>
      </c>
      <c r="M428" t="b">
        <v>0</v>
      </c>
      <c r="N428" t="inlineStr">
        <is>
          <t>AVOID</t>
        </is>
      </c>
    </row>
    <row r="429">
      <c r="A429" t="n">
        <v>428</v>
      </c>
      <c r="B429" t="inlineStr">
        <is>
          <t>UNFI</t>
        </is>
      </c>
      <c r="C429" t="inlineStr">
        <is>
          <t>2026-07-30</t>
        </is>
      </c>
      <c r="D429" t="n">
        <v>49.6</v>
      </c>
      <c r="E429" t="n">
        <v>52.91</v>
      </c>
      <c r="F429" t="n">
        <v>0.58</v>
      </c>
      <c r="G429" t="n">
        <v>-0.84</v>
      </c>
      <c r="H429" t="n">
        <v>-10.66</v>
      </c>
      <c r="I429" t="n">
        <v>40</v>
      </c>
      <c r="J429" t="n">
        <v>65</v>
      </c>
      <c r="K429" t="n">
        <v>40</v>
      </c>
      <c r="L429" t="b">
        <v>0</v>
      </c>
      <c r="M429" t="b">
        <v>0</v>
      </c>
      <c r="N429" t="inlineStr">
        <is>
          <t>AVOID</t>
        </is>
      </c>
    </row>
    <row r="430">
      <c r="A430" t="n">
        <v>429</v>
      </c>
      <c r="B430" t="inlineStr">
        <is>
          <t>SNY</t>
        </is>
      </c>
      <c r="C430" t="inlineStr">
        <is>
          <t>2026-07-30</t>
        </is>
      </c>
      <c r="D430" t="n">
        <v>42.43</v>
      </c>
      <c r="E430" t="n">
        <v>44.36</v>
      </c>
      <c r="F430" t="n">
        <v>2.35</v>
      </c>
      <c r="G430" t="n">
        <v>-3.86</v>
      </c>
      <c r="H430" t="n">
        <v>-14.44</v>
      </c>
      <c r="I430" t="n">
        <v>10</v>
      </c>
      <c r="J430" t="n">
        <v>30</v>
      </c>
      <c r="K430" t="n">
        <v>40</v>
      </c>
      <c r="L430" t="b">
        <v>0</v>
      </c>
      <c r="M430" t="b">
        <v>0</v>
      </c>
      <c r="N430" t="inlineStr">
        <is>
          <t>AVOID</t>
        </is>
      </c>
    </row>
    <row r="431">
      <c r="A431" t="n">
        <v>430</v>
      </c>
      <c r="B431" t="inlineStr">
        <is>
          <t>QRVO</t>
        </is>
      </c>
      <c r="C431" t="inlineStr">
        <is>
          <t>2026-07-30</t>
        </is>
      </c>
      <c r="D431" t="n">
        <v>89.95999999999999</v>
      </c>
      <c r="E431" t="n">
        <v>59.78</v>
      </c>
      <c r="F431" t="n">
        <v>0.5</v>
      </c>
      <c r="G431" t="n">
        <v>-4.52</v>
      </c>
      <c r="H431" t="n">
        <v>-16.88</v>
      </c>
      <c r="I431" t="n">
        <v>40</v>
      </c>
      <c r="J431" t="n">
        <v>50</v>
      </c>
      <c r="K431" t="n">
        <v>40</v>
      </c>
      <c r="L431" t="b">
        <v>0</v>
      </c>
      <c r="M431" t="b">
        <v>0</v>
      </c>
      <c r="N431" t="inlineStr">
        <is>
          <t>AVOID</t>
        </is>
      </c>
    </row>
    <row r="432">
      <c r="A432" t="n">
        <v>431</v>
      </c>
      <c r="B432" t="inlineStr">
        <is>
          <t>ZM</t>
        </is>
      </c>
      <c r="C432" t="inlineStr">
        <is>
          <t>2026-07-30</t>
        </is>
      </c>
      <c r="D432" t="n">
        <v>91.73</v>
      </c>
      <c r="E432" t="n">
        <v>54.4</v>
      </c>
      <c r="F432" t="n">
        <v>0.52</v>
      </c>
      <c r="G432" t="n">
        <v>-5.58</v>
      </c>
      <c r="H432" t="n">
        <v>-18.01</v>
      </c>
      <c r="I432" t="n">
        <v>40</v>
      </c>
      <c r="J432" t="n">
        <v>65</v>
      </c>
      <c r="K432" t="n">
        <v>40</v>
      </c>
      <c r="L432" t="b">
        <v>0</v>
      </c>
      <c r="M432" t="b">
        <v>0</v>
      </c>
      <c r="N432" t="inlineStr">
        <is>
          <t>AVOID</t>
        </is>
      </c>
    </row>
    <row r="433">
      <c r="A433" t="n">
        <v>432</v>
      </c>
      <c r="B433" t="inlineStr">
        <is>
          <t>VNOM</t>
        </is>
      </c>
      <c r="C433" t="inlineStr">
        <is>
          <t>2026-07-30</t>
        </is>
      </c>
      <c r="D433" t="n">
        <v>43.24</v>
      </c>
      <c r="E433" t="n">
        <v>57.44</v>
      </c>
      <c r="F433" t="n">
        <v>0.5</v>
      </c>
      <c r="G433" t="n">
        <v>-11.19</v>
      </c>
      <c r="H433" t="n">
        <v>-13.92</v>
      </c>
      <c r="I433" t="n">
        <v>40</v>
      </c>
      <c r="J433" t="n">
        <v>65</v>
      </c>
      <c r="K433" t="n">
        <v>40</v>
      </c>
      <c r="L433" t="b">
        <v>0</v>
      </c>
      <c r="M433" t="b">
        <v>0</v>
      </c>
      <c r="N433" t="inlineStr">
        <is>
          <t>AVOID</t>
        </is>
      </c>
    </row>
    <row r="434">
      <c r="A434" t="n">
        <v>433</v>
      </c>
      <c r="B434" t="inlineStr">
        <is>
          <t>OMCL</t>
        </is>
      </c>
      <c r="C434" t="inlineStr">
        <is>
          <t>2026-07-30</t>
        </is>
      </c>
      <c r="D434" t="n">
        <v>36.58</v>
      </c>
      <c r="E434" t="n">
        <v>29.53</v>
      </c>
      <c r="F434" t="n">
        <v>1.97</v>
      </c>
      <c r="G434" t="n">
        <v>-11.67</v>
      </c>
      <c r="H434" t="n">
        <v>-28.81</v>
      </c>
      <c r="I434" t="n">
        <v>20</v>
      </c>
      <c r="J434" t="n">
        <v>15</v>
      </c>
      <c r="K434" t="n">
        <v>40</v>
      </c>
      <c r="L434" t="b">
        <v>0</v>
      </c>
      <c r="M434" t="b">
        <v>0</v>
      </c>
      <c r="N434" t="inlineStr">
        <is>
          <t>AVOID</t>
        </is>
      </c>
    </row>
    <row r="435">
      <c r="A435" t="n">
        <v>434</v>
      </c>
      <c r="B435" t="inlineStr">
        <is>
          <t>TW</t>
        </is>
      </c>
      <c r="C435" t="inlineStr">
        <is>
          <t>2026-07-30</t>
        </is>
      </c>
      <c r="D435" t="n">
        <v>97.29000000000001</v>
      </c>
      <c r="E435" t="n">
        <v>49.12</v>
      </c>
      <c r="F435" t="n">
        <v>3.23</v>
      </c>
      <c r="G435" t="n">
        <v>-13.97</v>
      </c>
      <c r="H435" t="n">
        <v>-33.11</v>
      </c>
      <c r="I435" t="n">
        <v>10</v>
      </c>
      <c r="J435" t="n">
        <v>40</v>
      </c>
      <c r="K435" t="n">
        <v>40</v>
      </c>
      <c r="L435" t="b">
        <v>0</v>
      </c>
      <c r="M435" t="b">
        <v>0</v>
      </c>
      <c r="N435" t="inlineStr">
        <is>
          <t>AVOID</t>
        </is>
      </c>
    </row>
    <row r="436">
      <c r="A436" t="n">
        <v>435</v>
      </c>
      <c r="B436" t="inlineStr">
        <is>
          <t>OMER</t>
        </is>
      </c>
      <c r="C436" t="inlineStr">
        <is>
          <t>2026-07-30</t>
        </is>
      </c>
      <c r="D436" t="n">
        <v>12.05</v>
      </c>
      <c r="E436" t="n">
        <v>64.06999999999999</v>
      </c>
      <c r="F436" t="n">
        <v>0.61</v>
      </c>
      <c r="G436" t="n">
        <v>-17.47</v>
      </c>
      <c r="H436" t="n">
        <v>-29.86</v>
      </c>
      <c r="I436" t="n">
        <v>40</v>
      </c>
      <c r="J436" t="n">
        <v>70</v>
      </c>
      <c r="K436" t="n">
        <v>40</v>
      </c>
      <c r="L436" t="b">
        <v>0</v>
      </c>
      <c r="M436" t="b">
        <v>0</v>
      </c>
      <c r="N436" t="inlineStr">
        <is>
          <t>AVOID</t>
        </is>
      </c>
    </row>
    <row r="437">
      <c r="A437" t="n">
        <v>436</v>
      </c>
      <c r="B437" t="inlineStr">
        <is>
          <t>PHAT</t>
        </is>
      </c>
      <c r="C437" t="inlineStr">
        <is>
          <t>2026-07-30</t>
        </is>
      </c>
      <c r="D437" t="n">
        <v>8.869999999999999</v>
      </c>
      <c r="E437" t="n">
        <v>23.77</v>
      </c>
      <c r="F437" t="n">
        <v>4.31</v>
      </c>
      <c r="G437" t="n">
        <v>-20.8</v>
      </c>
      <c r="H437" t="n">
        <v>-50.94</v>
      </c>
      <c r="I437" t="n">
        <v>10</v>
      </c>
      <c r="J437" t="n">
        <v>15</v>
      </c>
      <c r="K437" t="n">
        <v>40</v>
      </c>
      <c r="L437" t="b">
        <v>0</v>
      </c>
      <c r="M437" t="b">
        <v>0</v>
      </c>
      <c r="N437" t="inlineStr">
        <is>
          <t>AVOID</t>
        </is>
      </c>
    </row>
    <row r="438">
      <c r="A438" t="n">
        <v>437</v>
      </c>
      <c r="B438" t="inlineStr">
        <is>
          <t>SAIA</t>
        </is>
      </c>
      <c r="C438" t="inlineStr">
        <is>
          <t>2026-07-30</t>
        </is>
      </c>
      <c r="D438" t="n">
        <v>350.31</v>
      </c>
      <c r="E438" t="n">
        <v>26.14</v>
      </c>
      <c r="F438" t="n">
        <v>2.27</v>
      </c>
      <c r="G438" t="n">
        <v>-21.95</v>
      </c>
      <c r="H438" t="n">
        <v>-28.09</v>
      </c>
      <c r="I438" t="n">
        <v>10</v>
      </c>
      <c r="J438" t="n">
        <v>15</v>
      </c>
      <c r="K438" t="n">
        <v>40</v>
      </c>
      <c r="L438" t="b">
        <v>0</v>
      </c>
      <c r="M438" t="b">
        <v>0</v>
      </c>
      <c r="N438" t="inlineStr">
        <is>
          <t>AVOID</t>
        </is>
      </c>
    </row>
    <row r="439">
      <c r="A439" t="n">
        <v>438</v>
      </c>
      <c r="B439" t="inlineStr">
        <is>
          <t>ATRO</t>
        </is>
      </c>
      <c r="C439" t="inlineStr">
        <is>
          <t>2026-07-30</t>
        </is>
      </c>
      <c r="D439" t="n">
        <v>67.47</v>
      </c>
      <c r="E439" t="n">
        <v>38.16</v>
      </c>
      <c r="F439" t="n">
        <v>0.65</v>
      </c>
      <c r="G439" t="n">
        <v>18.4</v>
      </c>
      <c r="H439" t="n">
        <v>-22.58</v>
      </c>
      <c r="I439" t="n">
        <v>25</v>
      </c>
      <c r="J439" t="n">
        <v>25</v>
      </c>
      <c r="K439" t="n">
        <v>35</v>
      </c>
      <c r="L439" t="b">
        <v>0</v>
      </c>
      <c r="M439" t="b">
        <v>0</v>
      </c>
      <c r="N439" t="inlineStr">
        <is>
          <t>AVOID</t>
        </is>
      </c>
    </row>
    <row r="440">
      <c r="A440" t="n">
        <v>439</v>
      </c>
      <c r="B440" t="inlineStr">
        <is>
          <t>GDYN</t>
        </is>
      </c>
      <c r="C440" t="inlineStr">
        <is>
          <t>2026-07-30</t>
        </is>
      </c>
      <c r="D440" t="n">
        <v>6.64</v>
      </c>
      <c r="E440" t="n">
        <v>68.41</v>
      </c>
      <c r="F440" t="n">
        <v>0.77</v>
      </c>
      <c r="G440" t="n">
        <v>16.78</v>
      </c>
      <c r="H440" t="n">
        <v>-33.95</v>
      </c>
      <c r="I440" t="n">
        <v>25</v>
      </c>
      <c r="J440" t="n">
        <v>20</v>
      </c>
      <c r="K440" t="n">
        <v>35</v>
      </c>
      <c r="L440" t="b">
        <v>0</v>
      </c>
      <c r="M440" t="b">
        <v>0</v>
      </c>
      <c r="N440" t="inlineStr">
        <is>
          <t>AVOID</t>
        </is>
      </c>
    </row>
    <row r="441">
      <c r="A441" t="n">
        <v>440</v>
      </c>
      <c r="B441" t="inlineStr">
        <is>
          <t>SYNA</t>
        </is>
      </c>
      <c r="C441" t="inlineStr">
        <is>
          <t>2026-07-30</t>
        </is>
      </c>
      <c r="D441" t="n">
        <v>109.12</v>
      </c>
      <c r="E441" t="n">
        <v>34.49</v>
      </c>
      <c r="F441" t="n">
        <v>0.74</v>
      </c>
      <c r="G441" t="n">
        <v>16.59</v>
      </c>
      <c r="H441" t="n">
        <v>-26.06</v>
      </c>
      <c r="I441" t="n">
        <v>25</v>
      </c>
      <c r="J441" t="n">
        <v>25</v>
      </c>
      <c r="K441" t="n">
        <v>35</v>
      </c>
      <c r="L441" t="b">
        <v>0</v>
      </c>
      <c r="M441" t="b">
        <v>0</v>
      </c>
      <c r="N441" t="inlineStr">
        <is>
          <t>AVOID</t>
        </is>
      </c>
    </row>
    <row r="442">
      <c r="A442" t="n">
        <v>441</v>
      </c>
      <c r="B442" t="inlineStr">
        <is>
          <t>ASML</t>
        </is>
      </c>
      <c r="C442" t="inlineStr">
        <is>
          <t>2026-07-30</t>
        </is>
      </c>
      <c r="D442" t="n">
        <v>1646.77</v>
      </c>
      <c r="E442" t="n">
        <v>38.53</v>
      </c>
      <c r="F442" t="n">
        <v>0.76</v>
      </c>
      <c r="G442" t="n">
        <v>14.59</v>
      </c>
      <c r="H442" t="n">
        <v>-17.12</v>
      </c>
      <c r="I442" t="n">
        <v>25</v>
      </c>
      <c r="J442" t="n">
        <v>25</v>
      </c>
      <c r="K442" t="n">
        <v>35</v>
      </c>
      <c r="L442" t="b">
        <v>0</v>
      </c>
      <c r="M442" t="b">
        <v>0</v>
      </c>
      <c r="N442" t="inlineStr">
        <is>
          <t>AVOID</t>
        </is>
      </c>
    </row>
    <row r="443">
      <c r="A443" t="n">
        <v>442</v>
      </c>
      <c r="B443" t="inlineStr">
        <is>
          <t>XPER</t>
        </is>
      </c>
      <c r="C443" t="inlineStr">
        <is>
          <t>2026-07-30</t>
        </is>
      </c>
      <c r="D443" t="n">
        <v>7.57</v>
      </c>
      <c r="E443" t="n">
        <v>42.66</v>
      </c>
      <c r="F443" t="n">
        <v>0.53</v>
      </c>
      <c r="G443" t="n">
        <v>13.23</v>
      </c>
      <c r="H443" t="n">
        <v>-12.33</v>
      </c>
      <c r="I443" t="n">
        <v>25</v>
      </c>
      <c r="J443" t="n">
        <v>40</v>
      </c>
      <c r="K443" t="n">
        <v>35</v>
      </c>
      <c r="L443" t="b">
        <v>0</v>
      </c>
      <c r="M443" t="b">
        <v>0</v>
      </c>
      <c r="N443" t="inlineStr">
        <is>
          <t>AVOID</t>
        </is>
      </c>
    </row>
    <row r="444">
      <c r="A444" t="n">
        <v>443</v>
      </c>
      <c r="B444" t="inlineStr">
        <is>
          <t>STRL</t>
        </is>
      </c>
      <c r="C444" t="inlineStr">
        <is>
          <t>2026-07-30</t>
        </is>
      </c>
      <c r="D444" t="n">
        <v>578.1</v>
      </c>
      <c r="E444" t="n">
        <v>38.98</v>
      </c>
      <c r="F444" t="n">
        <v>0.89</v>
      </c>
      <c r="G444" t="n">
        <v>12.12</v>
      </c>
      <c r="H444" t="n">
        <v>-41.83</v>
      </c>
      <c r="I444" t="n">
        <v>25</v>
      </c>
      <c r="J444" t="n">
        <v>25</v>
      </c>
      <c r="K444" t="n">
        <v>35</v>
      </c>
      <c r="L444" t="b">
        <v>0</v>
      </c>
      <c r="M444" t="b">
        <v>0</v>
      </c>
      <c r="N444" t="inlineStr">
        <is>
          <t>AVOID</t>
        </is>
      </c>
    </row>
    <row r="445">
      <c r="A445" t="n">
        <v>444</v>
      </c>
      <c r="B445" t="inlineStr">
        <is>
          <t>CGNX</t>
        </is>
      </c>
      <c r="C445" t="inlineStr">
        <is>
          <t>2026-07-30</t>
        </is>
      </c>
      <c r="D445" t="n">
        <v>62.06</v>
      </c>
      <c r="E445" t="n">
        <v>37.47</v>
      </c>
      <c r="F445" t="n">
        <v>0.5600000000000001</v>
      </c>
      <c r="G445" t="n">
        <v>11.95</v>
      </c>
      <c r="H445" t="n">
        <v>-14.31</v>
      </c>
      <c r="I445" t="n">
        <v>25</v>
      </c>
      <c r="J445" t="n">
        <v>40</v>
      </c>
      <c r="K445" t="n">
        <v>35</v>
      </c>
      <c r="L445" t="b">
        <v>0</v>
      </c>
      <c r="M445" t="b">
        <v>0</v>
      </c>
      <c r="N445" t="inlineStr">
        <is>
          <t>AVOID</t>
        </is>
      </c>
    </row>
    <row r="446">
      <c r="A446" t="n">
        <v>445</v>
      </c>
      <c r="B446" t="inlineStr">
        <is>
          <t>MRVL</t>
        </is>
      </c>
      <c r="C446" t="inlineStr">
        <is>
          <t>2026-07-30</t>
        </is>
      </c>
      <c r="D446" t="n">
        <v>182.8</v>
      </c>
      <c r="E446" t="n">
        <v>31.97</v>
      </c>
      <c r="F446" t="n">
        <v>0.76</v>
      </c>
      <c r="G446" t="n">
        <v>10.71</v>
      </c>
      <c r="H446" t="n">
        <v>-42.22</v>
      </c>
      <c r="I446" t="n">
        <v>25</v>
      </c>
      <c r="J446" t="n">
        <v>25</v>
      </c>
      <c r="K446" t="n">
        <v>35</v>
      </c>
      <c r="L446" t="b">
        <v>0</v>
      </c>
      <c r="M446" t="b">
        <v>0</v>
      </c>
      <c r="N446" t="inlineStr">
        <is>
          <t>AVOID</t>
        </is>
      </c>
    </row>
    <row r="447">
      <c r="A447" t="n">
        <v>446</v>
      </c>
      <c r="B447" t="inlineStr">
        <is>
          <t>SMTC</t>
        </is>
      </c>
      <c r="C447" t="inlineStr">
        <is>
          <t>2026-07-30</t>
        </is>
      </c>
      <c r="D447" t="n">
        <v>116.09</v>
      </c>
      <c r="E447" t="n">
        <v>39.2</v>
      </c>
      <c r="F447" t="n">
        <v>0.5600000000000001</v>
      </c>
      <c r="G447" t="n">
        <v>10.51</v>
      </c>
      <c r="H447" t="n">
        <v>-33.56</v>
      </c>
      <c r="I447" t="n">
        <v>25</v>
      </c>
      <c r="J447" t="n">
        <v>25</v>
      </c>
      <c r="K447" t="n">
        <v>35</v>
      </c>
      <c r="L447" t="b">
        <v>0</v>
      </c>
      <c r="M447" t="b">
        <v>0</v>
      </c>
      <c r="N447" t="inlineStr">
        <is>
          <t>AVOID</t>
        </is>
      </c>
    </row>
    <row r="448">
      <c r="A448" t="n">
        <v>447</v>
      </c>
      <c r="B448" t="inlineStr">
        <is>
          <t>KNSL</t>
        </is>
      </c>
      <c r="C448" t="inlineStr">
        <is>
          <t>2026-07-30</t>
        </is>
      </c>
      <c r="D448" t="n">
        <v>354.01</v>
      </c>
      <c r="E448" t="n">
        <v>54.24</v>
      </c>
      <c r="F448" t="n">
        <v>0.6899999999999999</v>
      </c>
      <c r="G448" t="n">
        <v>9.48</v>
      </c>
      <c r="H448" t="n">
        <v>-25.95</v>
      </c>
      <c r="I448" t="n">
        <v>35</v>
      </c>
      <c r="J448" t="n">
        <v>60</v>
      </c>
      <c r="K448" t="n">
        <v>35</v>
      </c>
      <c r="L448" t="b">
        <v>0</v>
      </c>
      <c r="M448" t="b">
        <v>0</v>
      </c>
      <c r="N448" t="inlineStr">
        <is>
          <t>AVOID</t>
        </is>
      </c>
    </row>
    <row r="449">
      <c r="A449" t="n">
        <v>448</v>
      </c>
      <c r="B449" t="inlineStr">
        <is>
          <t>IQ</t>
        </is>
      </c>
      <c r="C449" t="inlineStr">
        <is>
          <t>2026-07-30</t>
        </is>
      </c>
      <c r="D449" t="n">
        <v>1.29</v>
      </c>
      <c r="E449" t="n">
        <v>71.01000000000001</v>
      </c>
      <c r="F449" t="n">
        <v>0.6899999999999999</v>
      </c>
      <c r="G449" t="n">
        <v>9.279999999999999</v>
      </c>
      <c r="H449" t="n">
        <v>-53.78</v>
      </c>
      <c r="I449" t="n">
        <v>35</v>
      </c>
      <c r="J449" t="n">
        <v>20</v>
      </c>
      <c r="K449" t="n">
        <v>35</v>
      </c>
      <c r="L449" t="b">
        <v>0</v>
      </c>
      <c r="M449" t="b">
        <v>0</v>
      </c>
      <c r="N449" t="inlineStr">
        <is>
          <t>AVOID</t>
        </is>
      </c>
    </row>
    <row r="450">
      <c r="A450" t="n">
        <v>449</v>
      </c>
      <c r="B450" t="inlineStr">
        <is>
          <t>SNEX</t>
        </is>
      </c>
      <c r="C450" t="inlineStr">
        <is>
          <t>2026-07-30</t>
        </is>
      </c>
      <c r="D450" t="n">
        <v>77.14</v>
      </c>
      <c r="E450" t="n">
        <v>47.72</v>
      </c>
      <c r="F450" t="n">
        <v>0.51</v>
      </c>
      <c r="G450" t="n">
        <v>9.140000000000001</v>
      </c>
      <c r="H450" t="n">
        <v>-16.76</v>
      </c>
      <c r="I450" t="n">
        <v>35</v>
      </c>
      <c r="J450" t="n">
        <v>65</v>
      </c>
      <c r="K450" t="n">
        <v>35</v>
      </c>
      <c r="L450" t="b">
        <v>0</v>
      </c>
      <c r="M450" t="b">
        <v>0</v>
      </c>
      <c r="N450" t="inlineStr">
        <is>
          <t>AVOID</t>
        </is>
      </c>
    </row>
    <row r="451">
      <c r="A451" t="n">
        <v>450</v>
      </c>
      <c r="B451" t="inlineStr">
        <is>
          <t>BSY</t>
        </is>
      </c>
      <c r="C451" t="inlineStr">
        <is>
          <t>2026-07-30</t>
        </is>
      </c>
      <c r="D451" t="n">
        <v>35.33</v>
      </c>
      <c r="E451" t="n">
        <v>62.28</v>
      </c>
      <c r="F451" t="n">
        <v>0.51</v>
      </c>
      <c r="G451" t="n">
        <v>8.51</v>
      </c>
      <c r="H451" t="n">
        <v>-38.77</v>
      </c>
      <c r="I451" t="n">
        <v>35</v>
      </c>
      <c r="J451" t="n">
        <v>45</v>
      </c>
      <c r="K451" t="n">
        <v>35</v>
      </c>
      <c r="L451" t="b">
        <v>0</v>
      </c>
      <c r="M451" t="b">
        <v>0</v>
      </c>
      <c r="N451" t="inlineStr">
        <is>
          <t>AVOID</t>
        </is>
      </c>
    </row>
    <row r="452">
      <c r="A452" t="n">
        <v>451</v>
      </c>
      <c r="B452" t="inlineStr">
        <is>
          <t>BLKB</t>
        </is>
      </c>
      <c r="C452" t="inlineStr">
        <is>
          <t>2026-07-30</t>
        </is>
      </c>
      <c r="D452" t="n">
        <v>39.98</v>
      </c>
      <c r="E452" t="n">
        <v>73.8</v>
      </c>
      <c r="F452" t="n">
        <v>0.93</v>
      </c>
      <c r="G452" t="n">
        <v>7.56</v>
      </c>
      <c r="H452" t="n">
        <v>-44.17</v>
      </c>
      <c r="I452" t="n">
        <v>35</v>
      </c>
      <c r="J452" t="n">
        <v>20</v>
      </c>
      <c r="K452" t="n">
        <v>35</v>
      </c>
      <c r="L452" t="b">
        <v>0</v>
      </c>
      <c r="M452" t="b">
        <v>0</v>
      </c>
      <c r="N452" t="inlineStr">
        <is>
          <t>AVOID</t>
        </is>
      </c>
    </row>
    <row r="453">
      <c r="A453" t="n">
        <v>452</v>
      </c>
      <c r="B453" t="inlineStr">
        <is>
          <t>BAND</t>
        </is>
      </c>
      <c r="C453" t="inlineStr">
        <is>
          <t>2026-07-30</t>
        </is>
      </c>
      <c r="D453" t="n">
        <v>39.57</v>
      </c>
      <c r="E453" t="n">
        <v>18.03</v>
      </c>
      <c r="F453" t="n">
        <v>1.12</v>
      </c>
      <c r="G453" t="n">
        <v>7.5</v>
      </c>
      <c r="H453" t="n">
        <v>-49.55</v>
      </c>
      <c r="I453" t="n">
        <v>35</v>
      </c>
      <c r="J453" t="n">
        <v>40</v>
      </c>
      <c r="K453" t="n">
        <v>35</v>
      </c>
      <c r="L453" t="b">
        <v>0</v>
      </c>
      <c r="M453" t="b">
        <v>0</v>
      </c>
      <c r="N453" t="inlineStr">
        <is>
          <t>AVOID</t>
        </is>
      </c>
    </row>
    <row r="454">
      <c r="A454" t="n">
        <v>453</v>
      </c>
      <c r="B454" t="inlineStr">
        <is>
          <t>DRVN</t>
        </is>
      </c>
      <c r="C454" t="inlineStr">
        <is>
          <t>2026-07-30</t>
        </is>
      </c>
      <c r="D454" t="n">
        <v>14.51</v>
      </c>
      <c r="E454" t="n">
        <v>40.24</v>
      </c>
      <c r="F454" t="n">
        <v>0.19</v>
      </c>
      <c r="G454" t="n">
        <v>6.89</v>
      </c>
      <c r="H454" t="n">
        <v>-24.49</v>
      </c>
      <c r="I454" t="n">
        <v>35</v>
      </c>
      <c r="J454" t="n">
        <v>60</v>
      </c>
      <c r="K454" t="n">
        <v>35</v>
      </c>
      <c r="L454" t="b">
        <v>0</v>
      </c>
      <c r="M454" t="b">
        <v>0</v>
      </c>
      <c r="N454" t="inlineStr">
        <is>
          <t>AVOID</t>
        </is>
      </c>
    </row>
    <row r="455">
      <c r="A455" t="n">
        <v>454</v>
      </c>
      <c r="B455" t="inlineStr">
        <is>
          <t>SRRK</t>
        </is>
      </c>
      <c r="C455" t="inlineStr">
        <is>
          <t>2026-07-30</t>
        </is>
      </c>
      <c r="D455" t="n">
        <v>49.78</v>
      </c>
      <c r="E455" t="n">
        <v>30.05</v>
      </c>
      <c r="F455" t="n">
        <v>0.68</v>
      </c>
      <c r="G455" t="n">
        <v>6.81</v>
      </c>
      <c r="H455" t="n">
        <v>-14.07</v>
      </c>
      <c r="I455" t="n">
        <v>35</v>
      </c>
      <c r="J455" t="n">
        <v>25</v>
      </c>
      <c r="K455" t="n">
        <v>35</v>
      </c>
      <c r="L455" t="b">
        <v>0</v>
      </c>
      <c r="M455" t="b">
        <v>0</v>
      </c>
      <c r="N455" t="inlineStr">
        <is>
          <t>AVOID</t>
        </is>
      </c>
    </row>
    <row r="456">
      <c r="A456" t="n">
        <v>455</v>
      </c>
      <c r="B456" t="inlineStr">
        <is>
          <t>JBHT</t>
        </is>
      </c>
      <c r="C456" t="inlineStr">
        <is>
          <t>2026-07-30</t>
        </is>
      </c>
      <c r="D456" t="n">
        <v>267.07</v>
      </c>
      <c r="E456" t="n">
        <v>40.6</v>
      </c>
      <c r="F456" t="n">
        <v>0.57</v>
      </c>
      <c r="G456" t="n">
        <v>6.38</v>
      </c>
      <c r="H456" t="n">
        <v>-10.5</v>
      </c>
      <c r="I456" t="n">
        <v>35</v>
      </c>
      <c r="J456" t="n">
        <v>25</v>
      </c>
      <c r="K456" t="n">
        <v>35</v>
      </c>
      <c r="L456" t="b">
        <v>0</v>
      </c>
      <c r="M456" t="b">
        <v>0</v>
      </c>
      <c r="N456" t="inlineStr">
        <is>
          <t>AVOID</t>
        </is>
      </c>
    </row>
    <row r="457">
      <c r="A457" t="n">
        <v>456</v>
      </c>
      <c r="B457" t="inlineStr">
        <is>
          <t>COLL</t>
        </is>
      </c>
      <c r="C457" t="inlineStr">
        <is>
          <t>2026-07-30</t>
        </is>
      </c>
      <c r="D457" t="n">
        <v>35.88</v>
      </c>
      <c r="E457" t="n">
        <v>54.23</v>
      </c>
      <c r="F457" t="n">
        <v>0.31</v>
      </c>
      <c r="G457" t="n">
        <v>6.37</v>
      </c>
      <c r="H457" t="n">
        <v>-28.01</v>
      </c>
      <c r="I457" t="n">
        <v>35</v>
      </c>
      <c r="J457" t="n">
        <v>60</v>
      </c>
      <c r="K457" t="n">
        <v>35</v>
      </c>
      <c r="L457" t="b">
        <v>0</v>
      </c>
      <c r="M457" t="b">
        <v>0</v>
      </c>
      <c r="N457" t="inlineStr">
        <is>
          <t>AVOID</t>
        </is>
      </c>
    </row>
    <row r="458">
      <c r="A458" t="n">
        <v>457</v>
      </c>
      <c r="B458" t="inlineStr">
        <is>
          <t>APPF</t>
        </is>
      </c>
      <c r="C458" t="inlineStr">
        <is>
          <t>2026-07-30</t>
        </is>
      </c>
      <c r="D458" t="n">
        <v>176.69</v>
      </c>
      <c r="E458" t="n">
        <v>50.78</v>
      </c>
      <c r="F458" t="n">
        <v>0.39</v>
      </c>
      <c r="G458" t="n">
        <v>5.75</v>
      </c>
      <c r="H458" t="n">
        <v>-45</v>
      </c>
      <c r="I458" t="n">
        <v>35</v>
      </c>
      <c r="J458" t="n">
        <v>60</v>
      </c>
      <c r="K458" t="n">
        <v>35</v>
      </c>
      <c r="L458" t="b">
        <v>0</v>
      </c>
      <c r="M458" t="b">
        <v>0</v>
      </c>
      <c r="N458" t="inlineStr">
        <is>
          <t>AVOID</t>
        </is>
      </c>
    </row>
    <row r="459">
      <c r="A459" t="n">
        <v>458</v>
      </c>
      <c r="B459" t="inlineStr">
        <is>
          <t>NESR</t>
        </is>
      </c>
      <c r="C459" t="inlineStr">
        <is>
          <t>2026-07-30</t>
        </is>
      </c>
      <c r="D459" t="n">
        <v>26.28</v>
      </c>
      <c r="E459" t="n">
        <v>40.15</v>
      </c>
      <c r="F459" t="n">
        <v>0.62</v>
      </c>
      <c r="G459" t="n">
        <v>5.37</v>
      </c>
      <c r="H459" t="n">
        <v>-12.2</v>
      </c>
      <c r="I459" t="n">
        <v>35</v>
      </c>
      <c r="J459" t="n">
        <v>25</v>
      </c>
      <c r="K459" t="n">
        <v>35</v>
      </c>
      <c r="L459" t="b">
        <v>0</v>
      </c>
      <c r="M459" t="b">
        <v>0</v>
      </c>
      <c r="N459" t="inlineStr">
        <is>
          <t>AVOID</t>
        </is>
      </c>
    </row>
    <row r="460">
      <c r="A460" t="n">
        <v>459</v>
      </c>
      <c r="B460" t="inlineStr">
        <is>
          <t>MELI</t>
        </is>
      </c>
      <c r="C460" t="inlineStr">
        <is>
          <t>2026-07-30</t>
        </is>
      </c>
      <c r="D460" t="n">
        <v>1865.08</v>
      </c>
      <c r="E460" t="n">
        <v>52.81</v>
      </c>
      <c r="F460" t="n">
        <v>0.65</v>
      </c>
      <c r="G460" t="n">
        <v>4.04</v>
      </c>
      <c r="H460" t="n">
        <v>-25.72</v>
      </c>
      <c r="I460" t="n">
        <v>35</v>
      </c>
      <c r="J460" t="n">
        <v>60</v>
      </c>
      <c r="K460" t="n">
        <v>35</v>
      </c>
      <c r="L460" t="b">
        <v>0</v>
      </c>
      <c r="M460" t="b">
        <v>0</v>
      </c>
      <c r="N460" t="inlineStr">
        <is>
          <t>AVOID</t>
        </is>
      </c>
    </row>
    <row r="461">
      <c r="A461" t="n">
        <v>460</v>
      </c>
      <c r="B461" t="inlineStr">
        <is>
          <t>NCNO</t>
        </is>
      </c>
      <c r="C461" t="inlineStr">
        <is>
          <t>2026-07-30</t>
        </is>
      </c>
      <c r="D461" t="n">
        <v>18.18</v>
      </c>
      <c r="E461" t="n">
        <v>59.16</v>
      </c>
      <c r="F461" t="n">
        <v>0.61</v>
      </c>
      <c r="G461" t="n">
        <v>4.03</v>
      </c>
      <c r="H461" t="n">
        <v>-44.37</v>
      </c>
      <c r="I461" t="n">
        <v>35</v>
      </c>
      <c r="J461" t="n">
        <v>45</v>
      </c>
      <c r="K461" t="n">
        <v>35</v>
      </c>
      <c r="L461" t="b">
        <v>0</v>
      </c>
      <c r="M461" t="b">
        <v>0</v>
      </c>
      <c r="N461" t="inlineStr">
        <is>
          <t>AVOID</t>
        </is>
      </c>
    </row>
    <row r="462">
      <c r="A462" t="n">
        <v>461</v>
      </c>
      <c r="B462" t="inlineStr">
        <is>
          <t>DOMO</t>
        </is>
      </c>
      <c r="C462" t="inlineStr">
        <is>
          <t>2026-07-30</t>
        </is>
      </c>
      <c r="D462" t="n">
        <v>3.68</v>
      </c>
      <c r="E462" t="n">
        <v>55.81</v>
      </c>
      <c r="F462" t="n">
        <v>0.17</v>
      </c>
      <c r="G462" t="n">
        <v>3.51</v>
      </c>
      <c r="H462" t="n">
        <v>-79.75</v>
      </c>
      <c r="I462" t="n">
        <v>35</v>
      </c>
      <c r="J462" t="n">
        <v>45</v>
      </c>
      <c r="K462" t="n">
        <v>35</v>
      </c>
      <c r="L462" t="b">
        <v>0</v>
      </c>
      <c r="M462" t="b">
        <v>0</v>
      </c>
      <c r="N462" t="inlineStr">
        <is>
          <t>AVOID</t>
        </is>
      </c>
    </row>
    <row r="463">
      <c r="A463" t="n">
        <v>462</v>
      </c>
      <c r="B463" t="inlineStr">
        <is>
          <t>SCHL</t>
        </is>
      </c>
      <c r="C463" t="inlineStr">
        <is>
          <t>2026-07-30</t>
        </is>
      </c>
      <c r="D463" t="n">
        <v>41.77</v>
      </c>
      <c r="E463" t="n">
        <v>31.85</v>
      </c>
      <c r="F463" t="n">
        <v>0.75</v>
      </c>
      <c r="G463" t="n">
        <v>3.49</v>
      </c>
      <c r="H463" t="n">
        <v>-11.77</v>
      </c>
      <c r="I463" t="n">
        <v>35</v>
      </c>
      <c r="J463" t="n">
        <v>25</v>
      </c>
      <c r="K463" t="n">
        <v>35</v>
      </c>
      <c r="L463" t="b">
        <v>0</v>
      </c>
      <c r="M463" t="b">
        <v>0</v>
      </c>
      <c r="N463" t="inlineStr">
        <is>
          <t>AVOID</t>
        </is>
      </c>
    </row>
    <row r="464">
      <c r="A464" t="n">
        <v>463</v>
      </c>
      <c r="B464" t="inlineStr">
        <is>
          <t>DSGX</t>
        </is>
      </c>
      <c r="C464" t="inlineStr">
        <is>
          <t>2026-07-30</t>
        </is>
      </c>
      <c r="D464" t="n">
        <v>74.58</v>
      </c>
      <c r="E464" t="n">
        <v>53.86</v>
      </c>
      <c r="F464" t="n">
        <v>0.55</v>
      </c>
      <c r="G464" t="n">
        <v>3.43</v>
      </c>
      <c r="H464" t="n">
        <v>-30.81</v>
      </c>
      <c r="I464" t="n">
        <v>35</v>
      </c>
      <c r="J464" t="n">
        <v>45</v>
      </c>
      <c r="K464" t="n">
        <v>35</v>
      </c>
      <c r="L464" t="b">
        <v>0</v>
      </c>
      <c r="M464" t="b">
        <v>0</v>
      </c>
      <c r="N464" t="inlineStr">
        <is>
          <t>AVOID</t>
        </is>
      </c>
    </row>
    <row r="465">
      <c r="A465" t="n">
        <v>464</v>
      </c>
      <c r="B465" t="inlineStr">
        <is>
          <t>VERX</t>
        </is>
      </c>
      <c r="C465" t="inlineStr">
        <is>
          <t>2026-07-30</t>
        </is>
      </c>
      <c r="D465" t="n">
        <v>12.62</v>
      </c>
      <c r="E465" t="n">
        <v>51.63</v>
      </c>
      <c r="F465" t="n">
        <v>0.89</v>
      </c>
      <c r="G465" t="n">
        <v>2.02</v>
      </c>
      <c r="H465" t="n">
        <v>-62.83</v>
      </c>
      <c r="I465" t="n">
        <v>35</v>
      </c>
      <c r="J465" t="n">
        <v>60</v>
      </c>
      <c r="K465" t="n">
        <v>35</v>
      </c>
      <c r="L465" t="b">
        <v>0</v>
      </c>
      <c r="M465" t="b">
        <v>0</v>
      </c>
      <c r="N465" t="inlineStr">
        <is>
          <t>AVOID</t>
        </is>
      </c>
    </row>
    <row r="466">
      <c r="A466" t="n">
        <v>465</v>
      </c>
      <c r="B466" t="inlineStr">
        <is>
          <t>PTC</t>
        </is>
      </c>
      <c r="C466" t="inlineStr">
        <is>
          <t>2026-07-30</t>
        </is>
      </c>
      <c r="D466" t="n">
        <v>138.85</v>
      </c>
      <c r="E466" t="n">
        <v>64.26000000000001</v>
      </c>
      <c r="F466" t="n">
        <v>1.43</v>
      </c>
      <c r="G466" t="n">
        <v>1.87</v>
      </c>
      <c r="H466" t="n">
        <v>-35.87</v>
      </c>
      <c r="I466" t="n">
        <v>25</v>
      </c>
      <c r="J466" t="n">
        <v>60</v>
      </c>
      <c r="K466" t="n">
        <v>35</v>
      </c>
      <c r="L466" t="b">
        <v>0</v>
      </c>
      <c r="M466" t="b">
        <v>0</v>
      </c>
      <c r="N466" t="inlineStr">
        <is>
          <t>AVOID</t>
        </is>
      </c>
    </row>
    <row r="467">
      <c r="A467" t="n">
        <v>466</v>
      </c>
      <c r="B467" t="inlineStr">
        <is>
          <t>TRS</t>
        </is>
      </c>
      <c r="C467" t="inlineStr">
        <is>
          <t>2026-07-30</t>
        </is>
      </c>
      <c r="D467" t="n">
        <v>37.56</v>
      </c>
      <c r="E467" t="n">
        <v>25.42</v>
      </c>
      <c r="F467" t="n">
        <v>1.38</v>
      </c>
      <c r="G467" t="n">
        <v>1.56</v>
      </c>
      <c r="H467" t="n">
        <v>-16.59</v>
      </c>
      <c r="I467" t="n">
        <v>25</v>
      </c>
      <c r="J467" t="n">
        <v>40</v>
      </c>
      <c r="K467" t="n">
        <v>35</v>
      </c>
      <c r="L467" t="b">
        <v>0</v>
      </c>
      <c r="M467" t="b">
        <v>0</v>
      </c>
      <c r="N467" t="inlineStr">
        <is>
          <t>AVOID</t>
        </is>
      </c>
    </row>
    <row r="468">
      <c r="A468" t="n">
        <v>467</v>
      </c>
      <c r="B468" t="inlineStr">
        <is>
          <t>JKHY</t>
        </is>
      </c>
      <c r="C468" t="inlineStr">
        <is>
          <t>2026-07-30</t>
        </is>
      </c>
      <c r="D468" t="n">
        <v>154.51</v>
      </c>
      <c r="E468" t="n">
        <v>54.5</v>
      </c>
      <c r="F468" t="n">
        <v>0.38</v>
      </c>
      <c r="G468" t="n">
        <v>0.9399999999999999</v>
      </c>
      <c r="H468" t="n">
        <v>-19.13</v>
      </c>
      <c r="I468" t="n">
        <v>35</v>
      </c>
      <c r="J468" t="n">
        <v>60</v>
      </c>
      <c r="K468" t="n">
        <v>35</v>
      </c>
      <c r="L468" t="b">
        <v>0</v>
      </c>
      <c r="M468" t="b">
        <v>0</v>
      </c>
      <c r="N468" t="inlineStr">
        <is>
          <t>AVOID</t>
        </is>
      </c>
    </row>
    <row r="469">
      <c r="A469" t="n">
        <v>468</v>
      </c>
      <c r="B469" t="inlineStr">
        <is>
          <t>ADBE</t>
        </is>
      </c>
      <c r="C469" t="inlineStr">
        <is>
          <t>2026-07-30</t>
        </is>
      </c>
      <c r="D469" t="n">
        <v>248.21</v>
      </c>
      <c r="E469" t="n">
        <v>59.84</v>
      </c>
      <c r="F469" t="n">
        <v>0.84</v>
      </c>
      <c r="G469" t="n">
        <v>0.86</v>
      </c>
      <c r="H469" t="n">
        <v>-32.45</v>
      </c>
      <c r="I469" t="n">
        <v>35</v>
      </c>
      <c r="J469" t="n">
        <v>45</v>
      </c>
      <c r="K469" t="n">
        <v>35</v>
      </c>
      <c r="L469" t="b">
        <v>0</v>
      </c>
      <c r="M469" t="b">
        <v>0</v>
      </c>
      <c r="N469" t="inlineStr">
        <is>
          <t>AVOID</t>
        </is>
      </c>
    </row>
    <row r="470">
      <c r="A470" t="n">
        <v>469</v>
      </c>
      <c r="B470" t="inlineStr">
        <is>
          <t>WERN</t>
        </is>
      </c>
      <c r="C470" t="inlineStr">
        <is>
          <t>2026-07-30</t>
        </is>
      </c>
      <c r="D470" t="n">
        <v>37.01</v>
      </c>
      <c r="E470" t="n">
        <v>29.67</v>
      </c>
      <c r="F470" t="n">
        <v>0.92</v>
      </c>
      <c r="G470" t="n">
        <v>0.71</v>
      </c>
      <c r="H470" t="n">
        <v>-21.74</v>
      </c>
      <c r="I470" t="n">
        <v>35</v>
      </c>
      <c r="J470" t="n">
        <v>25</v>
      </c>
      <c r="K470" t="n">
        <v>35</v>
      </c>
      <c r="L470" t="b">
        <v>0</v>
      </c>
      <c r="M470" t="b">
        <v>0</v>
      </c>
      <c r="N470" t="inlineStr">
        <is>
          <t>AVOID</t>
        </is>
      </c>
    </row>
    <row r="471">
      <c r="A471" t="n">
        <v>470</v>
      </c>
      <c r="B471" t="inlineStr">
        <is>
          <t>GRFS</t>
        </is>
      </c>
      <c r="C471" t="inlineStr">
        <is>
          <t>2026-07-30</t>
        </is>
      </c>
      <c r="D471" t="n">
        <v>8.18</v>
      </c>
      <c r="E471" t="n">
        <v>70.52</v>
      </c>
      <c r="F471" t="n">
        <v>1.07</v>
      </c>
      <c r="G471" t="n">
        <v>0.55</v>
      </c>
      <c r="H471" t="n">
        <v>-22.86</v>
      </c>
      <c r="I471" t="n">
        <v>35</v>
      </c>
      <c r="J471" t="n">
        <v>35</v>
      </c>
      <c r="K471" t="n">
        <v>35</v>
      </c>
      <c r="L471" t="b">
        <v>0</v>
      </c>
      <c r="M471" t="b">
        <v>0</v>
      </c>
      <c r="N471" t="inlineStr">
        <is>
          <t>AVOID</t>
        </is>
      </c>
    </row>
    <row r="472">
      <c r="A472" t="n">
        <v>471</v>
      </c>
      <c r="B472" t="inlineStr">
        <is>
          <t>GT</t>
        </is>
      </c>
      <c r="C472" t="inlineStr">
        <is>
          <t>2026-07-30</t>
        </is>
      </c>
      <c r="D472" t="n">
        <v>7.07</v>
      </c>
      <c r="E472" t="n">
        <v>55.72</v>
      </c>
      <c r="F472" t="n">
        <v>0.44</v>
      </c>
      <c r="G472" t="n">
        <v>-0.07000000000000001</v>
      </c>
      <c r="H472" t="n">
        <v>-32.87</v>
      </c>
      <c r="I472" t="n">
        <v>35</v>
      </c>
      <c r="J472" t="n">
        <v>60</v>
      </c>
      <c r="K472" t="n">
        <v>35</v>
      </c>
      <c r="L472" t="b">
        <v>0</v>
      </c>
      <c r="M472" t="b">
        <v>0</v>
      </c>
      <c r="N472" t="inlineStr">
        <is>
          <t>AVOID</t>
        </is>
      </c>
    </row>
    <row r="473">
      <c r="A473" t="n">
        <v>472</v>
      </c>
      <c r="B473" t="inlineStr">
        <is>
          <t>OFIX</t>
        </is>
      </c>
      <c r="C473" t="inlineStr">
        <is>
          <t>2026-07-30</t>
        </is>
      </c>
      <c r="D473" t="n">
        <v>11.75</v>
      </c>
      <c r="E473" t="n">
        <v>51.24</v>
      </c>
      <c r="F473" t="n">
        <v>0.32</v>
      </c>
      <c r="G473" t="n">
        <v>-0.09</v>
      </c>
      <c r="H473" t="n">
        <v>-27.6</v>
      </c>
      <c r="I473" t="n">
        <v>35</v>
      </c>
      <c r="J473" t="n">
        <v>60</v>
      </c>
      <c r="K473" t="n">
        <v>35</v>
      </c>
      <c r="L473" t="b">
        <v>0</v>
      </c>
      <c r="M473" t="b">
        <v>0</v>
      </c>
      <c r="N473" t="inlineStr">
        <is>
          <t>AVOID</t>
        </is>
      </c>
    </row>
    <row r="474">
      <c r="A474" t="n">
        <v>473</v>
      </c>
      <c r="B474" t="inlineStr">
        <is>
          <t>NVCR</t>
        </is>
      </c>
      <c r="C474" t="inlineStr">
        <is>
          <t>2026-07-30</t>
        </is>
      </c>
      <c r="D474" t="n">
        <v>15.19</v>
      </c>
      <c r="E474" t="n">
        <v>45.34</v>
      </c>
      <c r="F474" t="n">
        <v>0.31</v>
      </c>
      <c r="G474" t="n">
        <v>-0.1</v>
      </c>
      <c r="H474" t="n">
        <v>-23.99</v>
      </c>
      <c r="I474" t="n">
        <v>35</v>
      </c>
      <c r="J474" t="n">
        <v>50</v>
      </c>
      <c r="K474" t="n">
        <v>35</v>
      </c>
      <c r="L474" t="b">
        <v>0</v>
      </c>
      <c r="M474" t="b">
        <v>0</v>
      </c>
      <c r="N474" t="inlineStr">
        <is>
          <t>AVOID</t>
        </is>
      </c>
    </row>
    <row r="475">
      <c r="A475" t="n">
        <v>474</v>
      </c>
      <c r="B475" t="inlineStr">
        <is>
          <t>DTIL</t>
        </is>
      </c>
      <c r="C475" t="inlineStr">
        <is>
          <t>2026-07-30</t>
        </is>
      </c>
      <c r="D475" t="n">
        <v>7.05</v>
      </c>
      <c r="E475" t="n">
        <v>21.78</v>
      </c>
      <c r="F475" t="n">
        <v>0.4</v>
      </c>
      <c r="G475" t="n">
        <v>-1.4</v>
      </c>
      <c r="H475" t="n">
        <v>-24.03</v>
      </c>
      <c r="I475" t="n">
        <v>35</v>
      </c>
      <c r="J475" t="n">
        <v>25</v>
      </c>
      <c r="K475" t="n">
        <v>35</v>
      </c>
      <c r="L475" t="b">
        <v>0</v>
      </c>
      <c r="M475" t="b">
        <v>0</v>
      </c>
      <c r="N475" t="inlineStr">
        <is>
          <t>AVOID</t>
        </is>
      </c>
    </row>
    <row r="476">
      <c r="A476" t="n">
        <v>475</v>
      </c>
      <c r="B476" t="inlineStr">
        <is>
          <t>ATEC</t>
        </is>
      </c>
      <c r="C476" t="inlineStr">
        <is>
          <t>2026-07-30</t>
        </is>
      </c>
      <c r="D476" t="n">
        <v>9.609999999999999</v>
      </c>
      <c r="E476" t="n">
        <v>50.42</v>
      </c>
      <c r="F476" t="n">
        <v>0.42</v>
      </c>
      <c r="G476" t="n">
        <v>-1.49</v>
      </c>
      <c r="H476" t="n">
        <v>-57.61</v>
      </c>
      <c r="I476" t="n">
        <v>35</v>
      </c>
      <c r="J476" t="n">
        <v>45</v>
      </c>
      <c r="K476" t="n">
        <v>35</v>
      </c>
      <c r="L476" t="b">
        <v>0</v>
      </c>
      <c r="M476" t="b">
        <v>0</v>
      </c>
      <c r="N476" t="inlineStr">
        <is>
          <t>AVOID</t>
        </is>
      </c>
    </row>
    <row r="477">
      <c r="A477" t="n">
        <v>476</v>
      </c>
      <c r="B477" t="inlineStr">
        <is>
          <t>BL</t>
        </is>
      </c>
      <c r="C477" t="inlineStr">
        <is>
          <t>2026-07-30</t>
        </is>
      </c>
      <c r="D477" t="n">
        <v>30.63</v>
      </c>
      <c r="E477" t="n">
        <v>55.88</v>
      </c>
      <c r="F477" t="n">
        <v>0.41</v>
      </c>
      <c r="G477" t="n">
        <v>-1.98</v>
      </c>
      <c r="H477" t="n">
        <v>-47.93</v>
      </c>
      <c r="I477" t="n">
        <v>35</v>
      </c>
      <c r="J477" t="n">
        <v>45</v>
      </c>
      <c r="K477" t="n">
        <v>35</v>
      </c>
      <c r="L477" t="b">
        <v>0</v>
      </c>
      <c r="M477" t="b">
        <v>0</v>
      </c>
      <c r="N477" t="inlineStr">
        <is>
          <t>AVOID</t>
        </is>
      </c>
    </row>
    <row r="478">
      <c r="A478" t="n">
        <v>477</v>
      </c>
      <c r="B478" t="inlineStr">
        <is>
          <t>HLNE</t>
        </is>
      </c>
      <c r="C478" t="inlineStr">
        <is>
          <t>2026-07-30</t>
        </is>
      </c>
      <c r="D478" t="n">
        <v>89.42</v>
      </c>
      <c r="E478" t="n">
        <v>71.28</v>
      </c>
      <c r="F478" t="n">
        <v>0.72</v>
      </c>
      <c r="G478" t="n">
        <v>-2.07</v>
      </c>
      <c r="H478" t="n">
        <v>-43.27</v>
      </c>
      <c r="I478" t="n">
        <v>35</v>
      </c>
      <c r="J478" t="n">
        <v>20</v>
      </c>
      <c r="K478" t="n">
        <v>35</v>
      </c>
      <c r="L478" t="b">
        <v>0</v>
      </c>
      <c r="M478" t="b">
        <v>0</v>
      </c>
      <c r="N478" t="inlineStr">
        <is>
          <t>AVOID</t>
        </is>
      </c>
    </row>
    <row r="479">
      <c r="A479" t="n">
        <v>478</v>
      </c>
      <c r="B479" t="inlineStr">
        <is>
          <t>KWEB</t>
        </is>
      </c>
      <c r="C479" t="inlineStr">
        <is>
          <t>2026-07-30</t>
        </is>
      </c>
      <c r="D479" t="n">
        <v>28.01</v>
      </c>
      <c r="E479" t="n">
        <v>64.27</v>
      </c>
      <c r="F479" t="n">
        <v>0.93</v>
      </c>
      <c r="G479" t="n">
        <v>-2.64</v>
      </c>
      <c r="H479" t="n">
        <v>-30.8</v>
      </c>
      <c r="I479" t="n">
        <v>35</v>
      </c>
      <c r="J479" t="n">
        <v>45</v>
      </c>
      <c r="K479" t="n">
        <v>35</v>
      </c>
      <c r="L479" t="b">
        <v>0</v>
      </c>
      <c r="M479" t="b">
        <v>0</v>
      </c>
      <c r="N479" t="inlineStr">
        <is>
          <t>AVOID</t>
        </is>
      </c>
    </row>
    <row r="480">
      <c r="A480" t="n">
        <v>479</v>
      </c>
      <c r="B480" t="inlineStr">
        <is>
          <t>UFPI</t>
        </is>
      </c>
      <c r="C480" t="inlineStr">
        <is>
          <t>2026-07-30</t>
        </is>
      </c>
      <c r="D480" t="n">
        <v>86.33</v>
      </c>
      <c r="E480" t="n">
        <v>53.62</v>
      </c>
      <c r="F480" t="n">
        <v>1</v>
      </c>
      <c r="G480" t="n">
        <v>-3.09</v>
      </c>
      <c r="H480" t="n">
        <v>-24.73</v>
      </c>
      <c r="I480" t="n">
        <v>35</v>
      </c>
      <c r="J480" t="n">
        <v>75</v>
      </c>
      <c r="K480" t="n">
        <v>35</v>
      </c>
      <c r="L480" t="b">
        <v>0</v>
      </c>
      <c r="M480" t="b">
        <v>0</v>
      </c>
      <c r="N480" t="inlineStr">
        <is>
          <t>AVOID</t>
        </is>
      </c>
    </row>
    <row r="481">
      <c r="A481" t="n">
        <v>480</v>
      </c>
      <c r="B481" t="inlineStr">
        <is>
          <t>EXPO</t>
        </is>
      </c>
      <c r="C481" t="inlineStr">
        <is>
          <t>2026-07-30</t>
        </is>
      </c>
      <c r="D481" t="n">
        <v>64.48</v>
      </c>
      <c r="E481" t="n">
        <v>56.93</v>
      </c>
      <c r="F481" t="n">
        <v>0.88</v>
      </c>
      <c r="G481" t="n">
        <v>-3.1</v>
      </c>
      <c r="H481" t="n">
        <v>-18.42</v>
      </c>
      <c r="I481" t="n">
        <v>35</v>
      </c>
      <c r="J481" t="n">
        <v>45</v>
      </c>
      <c r="K481" t="n">
        <v>35</v>
      </c>
      <c r="L481" t="b">
        <v>0</v>
      </c>
      <c r="M481" t="b">
        <v>0</v>
      </c>
      <c r="N481" t="inlineStr">
        <is>
          <t>AVOID</t>
        </is>
      </c>
    </row>
    <row r="482">
      <c r="A482" t="n">
        <v>481</v>
      </c>
      <c r="B482" t="inlineStr">
        <is>
          <t>WB</t>
        </is>
      </c>
      <c r="C482" t="inlineStr">
        <is>
          <t>2026-07-30</t>
        </is>
      </c>
      <c r="D482" t="n">
        <v>8.109999999999999</v>
      </c>
      <c r="E482" t="n">
        <v>65.59999999999999</v>
      </c>
      <c r="F482" t="n">
        <v>0.74</v>
      </c>
      <c r="G482" t="n">
        <v>-3.57</v>
      </c>
      <c r="H482" t="n">
        <v>-32.34</v>
      </c>
      <c r="I482" t="n">
        <v>35</v>
      </c>
      <c r="J482" t="n">
        <v>20</v>
      </c>
      <c r="K482" t="n">
        <v>35</v>
      </c>
      <c r="L482" t="b">
        <v>0</v>
      </c>
      <c r="M482" t="b">
        <v>0</v>
      </c>
      <c r="N482" t="inlineStr">
        <is>
          <t>AVOID</t>
        </is>
      </c>
    </row>
    <row r="483">
      <c r="A483" t="n">
        <v>482</v>
      </c>
      <c r="B483" t="inlineStr">
        <is>
          <t>PRAX</t>
        </is>
      </c>
      <c r="C483" t="inlineStr">
        <is>
          <t>2026-07-30</t>
        </is>
      </c>
      <c r="D483" t="n">
        <v>305.61</v>
      </c>
      <c r="E483" t="n">
        <v>43.1</v>
      </c>
      <c r="F483" t="n">
        <v>1.04</v>
      </c>
      <c r="G483" t="n">
        <v>-4.14</v>
      </c>
      <c r="H483" t="n">
        <v>-14.42</v>
      </c>
      <c r="I483" t="n">
        <v>35</v>
      </c>
      <c r="J483" t="n">
        <v>40</v>
      </c>
      <c r="K483" t="n">
        <v>35</v>
      </c>
      <c r="L483" t="b">
        <v>0</v>
      </c>
      <c r="M483" t="b">
        <v>0</v>
      </c>
      <c r="N483" t="inlineStr">
        <is>
          <t>AVOID</t>
        </is>
      </c>
    </row>
    <row r="484">
      <c r="A484" t="n">
        <v>483</v>
      </c>
      <c r="B484" t="inlineStr">
        <is>
          <t>EYE</t>
        </is>
      </c>
      <c r="C484" t="inlineStr">
        <is>
          <t>2026-07-30</t>
        </is>
      </c>
      <c r="D484" t="n">
        <v>22.17</v>
      </c>
      <c r="E484" t="n">
        <v>75.02</v>
      </c>
      <c r="F484" t="n">
        <v>0.38</v>
      </c>
      <c r="G484" t="n">
        <v>-4.5</v>
      </c>
      <c r="H484" t="n">
        <v>-24.73</v>
      </c>
      <c r="I484" t="n">
        <v>35</v>
      </c>
      <c r="J484" t="n">
        <v>20</v>
      </c>
      <c r="K484" t="n">
        <v>35</v>
      </c>
      <c r="L484" t="b">
        <v>0</v>
      </c>
      <c r="M484" t="b">
        <v>0</v>
      </c>
      <c r="N484" t="inlineStr">
        <is>
          <t>AVOID</t>
        </is>
      </c>
    </row>
    <row r="485">
      <c r="A485" t="n">
        <v>484</v>
      </c>
      <c r="B485" t="inlineStr">
        <is>
          <t>ENSG</t>
        </is>
      </c>
      <c r="C485" t="inlineStr">
        <is>
          <t>2026-07-30</t>
        </is>
      </c>
      <c r="D485" t="n">
        <v>178.12</v>
      </c>
      <c r="E485" t="n">
        <v>63.4</v>
      </c>
      <c r="F485" t="n">
        <v>0.36</v>
      </c>
      <c r="G485" t="n">
        <v>-4.55</v>
      </c>
      <c r="H485" t="n">
        <v>-17.41</v>
      </c>
      <c r="I485" t="n">
        <v>35</v>
      </c>
      <c r="J485" t="n">
        <v>45</v>
      </c>
      <c r="K485" t="n">
        <v>35</v>
      </c>
      <c r="L485" t="b">
        <v>0</v>
      </c>
      <c r="M485" t="b">
        <v>0</v>
      </c>
      <c r="N485" t="inlineStr">
        <is>
          <t>AVOID</t>
        </is>
      </c>
    </row>
    <row r="486">
      <c r="A486" t="n">
        <v>485</v>
      </c>
      <c r="B486" t="inlineStr">
        <is>
          <t>PODD</t>
        </is>
      </c>
      <c r="C486" t="inlineStr">
        <is>
          <t>2026-07-30</t>
        </is>
      </c>
      <c r="D486" t="n">
        <v>163.87</v>
      </c>
      <c r="E486" t="n">
        <v>53.18</v>
      </c>
      <c r="F486" t="n">
        <v>0.54</v>
      </c>
      <c r="G486" t="n">
        <v>-4.8</v>
      </c>
      <c r="H486" t="n">
        <v>-53.55</v>
      </c>
      <c r="I486" t="n">
        <v>35</v>
      </c>
      <c r="J486" t="n">
        <v>60</v>
      </c>
      <c r="K486" t="n">
        <v>35</v>
      </c>
      <c r="L486" t="b">
        <v>0</v>
      </c>
      <c r="M486" t="b">
        <v>0</v>
      </c>
      <c r="N486" t="inlineStr">
        <is>
          <t>AVOID</t>
        </is>
      </c>
    </row>
    <row r="487">
      <c r="A487" t="n">
        <v>486</v>
      </c>
      <c r="B487" t="inlineStr">
        <is>
          <t>VC</t>
        </is>
      </c>
      <c r="C487" t="inlineStr">
        <is>
          <t>2026-07-30</t>
        </is>
      </c>
      <c r="D487" t="n">
        <v>105.8</v>
      </c>
      <c r="E487" t="n">
        <v>48.42</v>
      </c>
      <c r="F487" t="n">
        <v>0.49</v>
      </c>
      <c r="G487" t="n">
        <v>-4.99</v>
      </c>
      <c r="H487" t="n">
        <v>-17.02</v>
      </c>
      <c r="I487" t="n">
        <v>35</v>
      </c>
      <c r="J487" t="n">
        <v>65</v>
      </c>
      <c r="K487" t="n">
        <v>35</v>
      </c>
      <c r="L487" t="b">
        <v>0</v>
      </c>
      <c r="M487" t="b">
        <v>0</v>
      </c>
      <c r="N487" t="inlineStr">
        <is>
          <t>AVOID</t>
        </is>
      </c>
    </row>
    <row r="488">
      <c r="A488" t="n">
        <v>487</v>
      </c>
      <c r="B488" t="inlineStr">
        <is>
          <t>TNDM</t>
        </is>
      </c>
      <c r="C488" t="inlineStr">
        <is>
          <t>2026-07-30</t>
        </is>
      </c>
      <c r="D488" t="n">
        <v>18.4</v>
      </c>
      <c r="E488" t="n">
        <v>69.39</v>
      </c>
      <c r="F488" t="n">
        <v>0.68</v>
      </c>
      <c r="G488" t="n">
        <v>-5.76</v>
      </c>
      <c r="H488" t="n">
        <v>-34.89</v>
      </c>
      <c r="I488" t="n">
        <v>35</v>
      </c>
      <c r="J488" t="n">
        <v>20</v>
      </c>
      <c r="K488" t="n">
        <v>35</v>
      </c>
      <c r="L488" t="b">
        <v>0</v>
      </c>
      <c r="M488" t="b">
        <v>0</v>
      </c>
      <c r="N488" t="inlineStr">
        <is>
          <t>AVOID</t>
        </is>
      </c>
    </row>
    <row r="489">
      <c r="A489" t="n">
        <v>488</v>
      </c>
      <c r="B489" t="inlineStr">
        <is>
          <t>NAVI</t>
        </is>
      </c>
      <c r="C489" t="inlineStr">
        <is>
          <t>2026-07-30</t>
        </is>
      </c>
      <c r="D489" t="n">
        <v>8.49</v>
      </c>
      <c r="E489" t="n">
        <v>57.23</v>
      </c>
      <c r="F489" t="n">
        <v>0.5600000000000001</v>
      </c>
      <c r="G489" t="n">
        <v>-6.19</v>
      </c>
      <c r="H489" t="n">
        <v>-34.82</v>
      </c>
      <c r="I489" t="n">
        <v>35</v>
      </c>
      <c r="J489" t="n">
        <v>60</v>
      </c>
      <c r="K489" t="n">
        <v>35</v>
      </c>
      <c r="L489" t="b">
        <v>0</v>
      </c>
      <c r="M489" t="b">
        <v>0</v>
      </c>
      <c r="N489" t="inlineStr">
        <is>
          <t>AVOID</t>
        </is>
      </c>
    </row>
    <row r="490">
      <c r="A490" t="n">
        <v>489</v>
      </c>
      <c r="B490" t="inlineStr">
        <is>
          <t>NXST</t>
        </is>
      </c>
      <c r="C490" t="inlineStr">
        <is>
          <t>2026-07-30</t>
        </is>
      </c>
      <c r="D490" t="n">
        <v>192.84</v>
      </c>
      <c r="E490" t="n">
        <v>75.61</v>
      </c>
      <c r="F490" t="n">
        <v>0.47</v>
      </c>
      <c r="G490" t="n">
        <v>-6.47</v>
      </c>
      <c r="H490" t="n">
        <v>-23.25</v>
      </c>
      <c r="I490" t="n">
        <v>35</v>
      </c>
      <c r="J490" t="n">
        <v>20</v>
      </c>
      <c r="K490" t="n">
        <v>35</v>
      </c>
      <c r="L490" t="b">
        <v>0</v>
      </c>
      <c r="M490" t="b">
        <v>0</v>
      </c>
      <c r="N490" t="inlineStr">
        <is>
          <t>AVOID</t>
        </is>
      </c>
    </row>
    <row r="491">
      <c r="A491" t="n">
        <v>490</v>
      </c>
      <c r="B491" t="inlineStr">
        <is>
          <t>AVGO</t>
        </is>
      </c>
      <c r="C491" t="inlineStr">
        <is>
          <t>2026-07-30</t>
        </is>
      </c>
      <c r="D491" t="n">
        <v>385.99</v>
      </c>
      <c r="E491" t="n">
        <v>44.19</v>
      </c>
      <c r="F491" t="n">
        <v>0.64</v>
      </c>
      <c r="G491" t="n">
        <v>-7.38</v>
      </c>
      <c r="H491" t="n">
        <v>-19.72</v>
      </c>
      <c r="I491" t="n">
        <v>35</v>
      </c>
      <c r="J491" t="n">
        <v>40</v>
      </c>
      <c r="K491" t="n">
        <v>35</v>
      </c>
      <c r="L491" t="b">
        <v>0</v>
      </c>
      <c r="M491" t="b">
        <v>0</v>
      </c>
      <c r="N491" t="inlineStr">
        <is>
          <t>AVOID</t>
        </is>
      </c>
    </row>
    <row r="492">
      <c r="A492" t="n">
        <v>491</v>
      </c>
      <c r="B492" t="inlineStr">
        <is>
          <t>AVO</t>
        </is>
      </c>
      <c r="C492" t="inlineStr">
        <is>
          <t>2026-07-30</t>
        </is>
      </c>
      <c r="D492" t="n">
        <v>12.77</v>
      </c>
      <c r="E492" t="n">
        <v>40.6</v>
      </c>
      <c r="F492" t="n">
        <v>0.29</v>
      </c>
      <c r="G492" t="n">
        <v>-7.86</v>
      </c>
      <c r="H492" t="n">
        <v>-16.75</v>
      </c>
      <c r="I492" t="n">
        <v>35</v>
      </c>
      <c r="J492" t="n">
        <v>60</v>
      </c>
      <c r="K492" t="n">
        <v>35</v>
      </c>
      <c r="L492" t="b">
        <v>0</v>
      </c>
      <c r="M492" t="b">
        <v>0</v>
      </c>
      <c r="N492" t="inlineStr">
        <is>
          <t>AVOID</t>
        </is>
      </c>
    </row>
    <row r="493">
      <c r="A493" t="n">
        <v>492</v>
      </c>
      <c r="B493" t="inlineStr">
        <is>
          <t>IRTC</t>
        </is>
      </c>
      <c r="C493" t="inlineStr">
        <is>
          <t>2026-07-30</t>
        </is>
      </c>
      <c r="D493" t="n">
        <v>118.93</v>
      </c>
      <c r="E493" t="n">
        <v>53.36</v>
      </c>
      <c r="F493" t="n">
        <v>0.98</v>
      </c>
      <c r="G493" t="n">
        <v>-7.92</v>
      </c>
      <c r="H493" t="n">
        <v>-37.16</v>
      </c>
      <c r="I493" t="n">
        <v>35</v>
      </c>
      <c r="J493" t="n">
        <v>60</v>
      </c>
      <c r="K493" t="n">
        <v>35</v>
      </c>
      <c r="L493" t="b">
        <v>0</v>
      </c>
      <c r="M493" t="b">
        <v>0</v>
      </c>
      <c r="N493" t="inlineStr">
        <is>
          <t>AVOID</t>
        </is>
      </c>
    </row>
    <row r="494">
      <c r="A494" t="n">
        <v>493</v>
      </c>
      <c r="B494" t="inlineStr">
        <is>
          <t>CG</t>
        </is>
      </c>
      <c r="C494" t="inlineStr">
        <is>
          <t>2026-07-30</t>
        </is>
      </c>
      <c r="D494" t="n">
        <v>45.75</v>
      </c>
      <c r="E494" t="n">
        <v>54.81</v>
      </c>
      <c r="F494" t="n">
        <v>0.68</v>
      </c>
      <c r="G494" t="n">
        <v>-7.96</v>
      </c>
      <c r="H494" t="n">
        <v>-32.67</v>
      </c>
      <c r="I494" t="n">
        <v>35</v>
      </c>
      <c r="J494" t="n">
        <v>60</v>
      </c>
      <c r="K494" t="n">
        <v>35</v>
      </c>
      <c r="L494" t="b">
        <v>0</v>
      </c>
      <c r="M494" t="b">
        <v>0</v>
      </c>
      <c r="N494" t="inlineStr">
        <is>
          <t>AVOID</t>
        </is>
      </c>
    </row>
    <row r="495">
      <c r="A495" t="n">
        <v>494</v>
      </c>
      <c r="B495" t="inlineStr">
        <is>
          <t>AMPH</t>
        </is>
      </c>
      <c r="C495" t="inlineStr">
        <is>
          <t>2026-07-30</t>
        </is>
      </c>
      <c r="D495" t="n">
        <v>20.19</v>
      </c>
      <c r="E495" t="n">
        <v>63.45</v>
      </c>
      <c r="F495" t="n">
        <v>0.49</v>
      </c>
      <c r="G495" t="n">
        <v>-8.039999999999999</v>
      </c>
      <c r="H495" t="n">
        <v>-34.45</v>
      </c>
      <c r="I495" t="n">
        <v>35</v>
      </c>
      <c r="J495" t="n">
        <v>45</v>
      </c>
      <c r="K495" t="n">
        <v>35</v>
      </c>
      <c r="L495" t="b">
        <v>0</v>
      </c>
      <c r="M495" t="b">
        <v>0</v>
      </c>
      <c r="N495" t="inlineStr">
        <is>
          <t>AVOID</t>
        </is>
      </c>
    </row>
    <row r="496">
      <c r="A496" t="n">
        <v>495</v>
      </c>
      <c r="B496" t="inlineStr">
        <is>
          <t>XP</t>
        </is>
      </c>
      <c r="C496" t="inlineStr">
        <is>
          <t>2026-07-30</t>
        </is>
      </c>
      <c r="D496" t="n">
        <v>17.17</v>
      </c>
      <c r="E496" t="n">
        <v>53.22</v>
      </c>
      <c r="F496" t="n">
        <v>0.33</v>
      </c>
      <c r="G496" t="n">
        <v>-9.199999999999999</v>
      </c>
      <c r="H496" t="n">
        <v>-24.19</v>
      </c>
      <c r="I496" t="n">
        <v>35</v>
      </c>
      <c r="J496" t="n">
        <v>45</v>
      </c>
      <c r="K496" t="n">
        <v>35</v>
      </c>
      <c r="L496" t="b">
        <v>0</v>
      </c>
      <c r="M496" t="b">
        <v>0</v>
      </c>
      <c r="N496" t="inlineStr">
        <is>
          <t>AVOID</t>
        </is>
      </c>
    </row>
    <row r="497">
      <c r="A497" t="n">
        <v>496</v>
      </c>
      <c r="B497" t="inlineStr">
        <is>
          <t>IVA</t>
        </is>
      </c>
      <c r="C497" t="inlineStr">
        <is>
          <t>2026-07-30</t>
        </is>
      </c>
      <c r="D497" t="n">
        <v>4.61</v>
      </c>
      <c r="E497" t="n">
        <v>63.6</v>
      </c>
      <c r="F497" t="n">
        <v>0.34</v>
      </c>
      <c r="G497" t="n">
        <v>-10.14</v>
      </c>
      <c r="H497" t="n">
        <v>-35.52</v>
      </c>
      <c r="I497" t="n">
        <v>35</v>
      </c>
      <c r="J497" t="n">
        <v>45</v>
      </c>
      <c r="K497" t="n">
        <v>35</v>
      </c>
      <c r="L497" t="b">
        <v>0</v>
      </c>
      <c r="M497" t="b">
        <v>0</v>
      </c>
      <c r="N497" t="inlineStr">
        <is>
          <t>AVOID</t>
        </is>
      </c>
    </row>
    <row r="498">
      <c r="A498" t="n">
        <v>497</v>
      </c>
      <c r="B498" t="inlineStr">
        <is>
          <t>AMZN</t>
        </is>
      </c>
      <c r="C498" t="inlineStr">
        <is>
          <t>2026-07-30</t>
        </is>
      </c>
      <c r="D498" t="n">
        <v>237.8</v>
      </c>
      <c r="E498" t="n">
        <v>43.1</v>
      </c>
      <c r="F498" t="n">
        <v>1.27</v>
      </c>
      <c r="G498" t="n">
        <v>-10.28</v>
      </c>
      <c r="H498" t="n">
        <v>-13.52</v>
      </c>
      <c r="I498" t="n">
        <v>25</v>
      </c>
      <c r="J498" t="n">
        <v>55</v>
      </c>
      <c r="K498" t="n">
        <v>35</v>
      </c>
      <c r="L498" t="b">
        <v>0</v>
      </c>
      <c r="M498" t="b">
        <v>0</v>
      </c>
      <c r="N498" t="inlineStr">
        <is>
          <t>AVOID</t>
        </is>
      </c>
    </row>
    <row r="499">
      <c r="A499" t="n">
        <v>498</v>
      </c>
      <c r="B499" t="inlineStr">
        <is>
          <t>BNTX</t>
        </is>
      </c>
      <c r="C499" t="inlineStr">
        <is>
          <t>2026-07-30</t>
        </is>
      </c>
      <c r="D499" t="n">
        <v>92.81999999999999</v>
      </c>
      <c r="E499" t="n">
        <v>55.58</v>
      </c>
      <c r="F499" t="n">
        <v>1.11</v>
      </c>
      <c r="G499" t="n">
        <v>-10.28</v>
      </c>
      <c r="H499" t="n">
        <v>-22.22</v>
      </c>
      <c r="I499" t="n">
        <v>35</v>
      </c>
      <c r="J499" t="n">
        <v>75</v>
      </c>
      <c r="K499" t="n">
        <v>35</v>
      </c>
      <c r="L499" t="b">
        <v>0</v>
      </c>
      <c r="M499" t="b">
        <v>0</v>
      </c>
      <c r="N499" t="inlineStr">
        <is>
          <t>AVOID</t>
        </is>
      </c>
    </row>
    <row r="500">
      <c r="A500" t="n">
        <v>499</v>
      </c>
      <c r="B500" t="inlineStr">
        <is>
          <t>IRWD</t>
        </is>
      </c>
      <c r="C500" t="inlineStr">
        <is>
          <t>2026-07-30</t>
        </is>
      </c>
      <c r="D500" t="n">
        <v>3.7</v>
      </c>
      <c r="E500" t="n">
        <v>26.32</v>
      </c>
      <c r="F500" t="n">
        <v>0.26</v>
      </c>
      <c r="G500" t="n">
        <v>-10.29</v>
      </c>
      <c r="H500" t="n">
        <v>-31.26</v>
      </c>
      <c r="I500" t="n">
        <v>35</v>
      </c>
      <c r="J500" t="n">
        <v>25</v>
      </c>
      <c r="K500" t="n">
        <v>35</v>
      </c>
      <c r="L500" t="b">
        <v>0</v>
      </c>
      <c r="M500" t="b">
        <v>0</v>
      </c>
      <c r="N500" t="inlineStr">
        <is>
          <t>AVOID</t>
        </is>
      </c>
    </row>
    <row r="501">
      <c r="A501" t="n">
        <v>500</v>
      </c>
      <c r="B501" t="inlineStr">
        <is>
          <t>FRPT</t>
        </is>
      </c>
      <c r="C501" t="inlineStr">
        <is>
          <t>2026-07-30</t>
        </is>
      </c>
      <c r="D501" t="n">
        <v>60.23</v>
      </c>
      <c r="E501" t="n">
        <v>68.45</v>
      </c>
      <c r="F501" t="n">
        <v>0.4</v>
      </c>
      <c r="G501" t="n">
        <v>-10.61</v>
      </c>
      <c r="H501" t="n">
        <v>-29.56</v>
      </c>
      <c r="I501" t="n">
        <v>35</v>
      </c>
      <c r="J501" t="n">
        <v>20</v>
      </c>
      <c r="K501" t="n">
        <v>35</v>
      </c>
      <c r="L501" t="b">
        <v>0</v>
      </c>
      <c r="M501" t="b">
        <v>0</v>
      </c>
      <c r="N501" t="inlineStr">
        <is>
          <t>AVOID</t>
        </is>
      </c>
    </row>
    <row r="502">
      <c r="A502" t="n">
        <v>501</v>
      </c>
      <c r="B502" t="inlineStr">
        <is>
          <t>EDIT</t>
        </is>
      </c>
      <c r="C502" t="inlineStr">
        <is>
          <t>2026-07-30</t>
        </is>
      </c>
      <c r="D502" t="n">
        <v>2.68</v>
      </c>
      <c r="E502" t="n">
        <v>24.11</v>
      </c>
      <c r="F502" t="n">
        <v>0.25</v>
      </c>
      <c r="G502" t="n">
        <v>-10.66</v>
      </c>
      <c r="H502" t="n">
        <v>-35.42</v>
      </c>
      <c r="I502" t="n">
        <v>35</v>
      </c>
      <c r="J502" t="n">
        <v>25</v>
      </c>
      <c r="K502" t="n">
        <v>35</v>
      </c>
      <c r="L502" t="b">
        <v>0</v>
      </c>
      <c r="M502" t="b">
        <v>0</v>
      </c>
      <c r="N502" t="inlineStr">
        <is>
          <t>AVOID</t>
        </is>
      </c>
    </row>
    <row r="503">
      <c r="A503" t="n">
        <v>502</v>
      </c>
      <c r="B503" t="inlineStr">
        <is>
          <t>UPWK</t>
        </is>
      </c>
      <c r="C503" t="inlineStr">
        <is>
          <t>2026-07-30</t>
        </is>
      </c>
      <c r="D503" t="n">
        <v>9.220000000000001</v>
      </c>
      <c r="E503" t="n">
        <v>54.95</v>
      </c>
      <c r="F503" t="n">
        <v>0.87</v>
      </c>
      <c r="G503" t="n">
        <v>-10.92</v>
      </c>
      <c r="H503" t="n">
        <v>-58.3</v>
      </c>
      <c r="I503" t="n">
        <v>35</v>
      </c>
      <c r="J503" t="n">
        <v>60</v>
      </c>
      <c r="K503" t="n">
        <v>35</v>
      </c>
      <c r="L503" t="b">
        <v>0</v>
      </c>
      <c r="M503" t="b">
        <v>0</v>
      </c>
      <c r="N503" t="inlineStr">
        <is>
          <t>AVOID</t>
        </is>
      </c>
    </row>
    <row r="504">
      <c r="A504" t="n">
        <v>503</v>
      </c>
      <c r="B504" t="inlineStr">
        <is>
          <t>ANNX</t>
        </is>
      </c>
      <c r="C504" t="inlineStr">
        <is>
          <t>2026-07-30</t>
        </is>
      </c>
      <c r="D504" t="n">
        <v>5.18</v>
      </c>
      <c r="E504" t="n">
        <v>40.7</v>
      </c>
      <c r="F504" t="n">
        <v>0.41</v>
      </c>
      <c r="G504" t="n">
        <v>-11.67</v>
      </c>
      <c r="H504" t="n">
        <v>-25.5</v>
      </c>
      <c r="I504" t="n">
        <v>35</v>
      </c>
      <c r="J504" t="n">
        <v>25</v>
      </c>
      <c r="K504" t="n">
        <v>35</v>
      </c>
      <c r="L504" t="b">
        <v>0</v>
      </c>
      <c r="M504" t="b">
        <v>0</v>
      </c>
      <c r="N504" t="inlineStr">
        <is>
          <t>AVOID</t>
        </is>
      </c>
    </row>
    <row r="505">
      <c r="A505" t="n">
        <v>504</v>
      </c>
      <c r="B505" t="inlineStr">
        <is>
          <t>PPC</t>
        </is>
      </c>
      <c r="C505" t="inlineStr">
        <is>
          <t>2026-07-30</t>
        </is>
      </c>
      <c r="D505" t="n">
        <v>28.98</v>
      </c>
      <c r="E505" t="n">
        <v>56.37</v>
      </c>
      <c r="F505" t="n">
        <v>0.95</v>
      </c>
      <c r="G505" t="n">
        <v>-12.45</v>
      </c>
      <c r="H505" t="n">
        <v>-39.87</v>
      </c>
      <c r="I505" t="n">
        <v>35</v>
      </c>
      <c r="J505" t="n">
        <v>60</v>
      </c>
      <c r="K505" t="n">
        <v>35</v>
      </c>
      <c r="L505" t="b">
        <v>0</v>
      </c>
      <c r="M505" t="b">
        <v>0</v>
      </c>
      <c r="N505" t="inlineStr">
        <is>
          <t>AVOID</t>
        </is>
      </c>
    </row>
    <row r="506">
      <c r="A506" t="n">
        <v>505</v>
      </c>
      <c r="B506" t="inlineStr">
        <is>
          <t>VIR</t>
        </is>
      </c>
      <c r="C506" t="inlineStr">
        <is>
          <t>2026-07-30</t>
        </is>
      </c>
      <c r="D506" t="n">
        <v>8.92</v>
      </c>
      <c r="E506" t="n">
        <v>30</v>
      </c>
      <c r="F506" t="n">
        <v>0.4</v>
      </c>
      <c r="G506" t="n">
        <v>-12.68</v>
      </c>
      <c r="H506" t="n">
        <v>-19.57</v>
      </c>
      <c r="I506" t="n">
        <v>35</v>
      </c>
      <c r="J506" t="n">
        <v>25</v>
      </c>
      <c r="K506" t="n">
        <v>35</v>
      </c>
      <c r="L506" t="b">
        <v>0</v>
      </c>
      <c r="M506" t="b">
        <v>0</v>
      </c>
      <c r="N506" t="inlineStr">
        <is>
          <t>AVOID</t>
        </is>
      </c>
    </row>
    <row r="507">
      <c r="A507" t="n">
        <v>506</v>
      </c>
      <c r="B507" t="inlineStr">
        <is>
          <t>PDD</t>
        </is>
      </c>
      <c r="C507" t="inlineStr">
        <is>
          <t>2026-07-30</t>
        </is>
      </c>
      <c r="D507" t="n">
        <v>86.98999999999999</v>
      </c>
      <c r="E507" t="n">
        <v>54.94</v>
      </c>
      <c r="F507" t="n">
        <v>0.53</v>
      </c>
      <c r="G507" t="n">
        <v>-12.91</v>
      </c>
      <c r="H507" t="n">
        <v>-37.02</v>
      </c>
      <c r="I507" t="n">
        <v>35</v>
      </c>
      <c r="J507" t="n">
        <v>60</v>
      </c>
      <c r="K507" t="n">
        <v>35</v>
      </c>
      <c r="L507" t="b">
        <v>0</v>
      </c>
      <c r="M507" t="b">
        <v>0</v>
      </c>
      <c r="N507" t="inlineStr">
        <is>
          <t>AVOID</t>
        </is>
      </c>
    </row>
    <row r="508">
      <c r="A508" t="n">
        <v>507</v>
      </c>
      <c r="B508" t="inlineStr">
        <is>
          <t>APEI</t>
        </is>
      </c>
      <c r="C508" t="inlineStr">
        <is>
          <t>2026-07-30</t>
        </is>
      </c>
      <c r="D508" t="n">
        <v>50.6</v>
      </c>
      <c r="E508" t="n">
        <v>32.53</v>
      </c>
      <c r="F508" t="n">
        <v>0.32</v>
      </c>
      <c r="G508" t="n">
        <v>-12.98</v>
      </c>
      <c r="H508" t="n">
        <v>-16.86</v>
      </c>
      <c r="I508" t="n">
        <v>35</v>
      </c>
      <c r="J508" t="n">
        <v>25</v>
      </c>
      <c r="K508" t="n">
        <v>35</v>
      </c>
      <c r="L508" t="b">
        <v>0</v>
      </c>
      <c r="M508" t="b">
        <v>0</v>
      </c>
      <c r="N508" t="inlineStr">
        <is>
          <t>AVOID</t>
        </is>
      </c>
    </row>
    <row r="509">
      <c r="A509" t="n">
        <v>508</v>
      </c>
      <c r="B509" t="inlineStr">
        <is>
          <t>BILI</t>
        </is>
      </c>
      <c r="C509" t="inlineStr">
        <is>
          <t>2026-07-30</t>
        </is>
      </c>
      <c r="D509" t="n">
        <v>18.67</v>
      </c>
      <c r="E509" t="n">
        <v>58.35</v>
      </c>
      <c r="F509" t="n">
        <v>0.83</v>
      </c>
      <c r="G509" t="n">
        <v>-15.23</v>
      </c>
      <c r="H509" t="n">
        <v>-48.01</v>
      </c>
      <c r="I509" t="n">
        <v>35</v>
      </c>
      <c r="J509" t="n">
        <v>45</v>
      </c>
      <c r="K509" t="n">
        <v>35</v>
      </c>
      <c r="L509" t="b">
        <v>0</v>
      </c>
      <c r="M509" t="b">
        <v>0</v>
      </c>
      <c r="N509" t="inlineStr">
        <is>
          <t>AVOID</t>
        </is>
      </c>
    </row>
    <row r="510">
      <c r="A510" t="n">
        <v>509</v>
      </c>
      <c r="B510" t="inlineStr">
        <is>
          <t>TRMB</t>
        </is>
      </c>
      <c r="C510" t="inlineStr">
        <is>
          <t>2026-07-30</t>
        </is>
      </c>
      <c r="D510" t="n">
        <v>56.81</v>
      </c>
      <c r="E510" t="n">
        <v>61.15</v>
      </c>
      <c r="F510" t="n">
        <v>0.47</v>
      </c>
      <c r="G510" t="n">
        <v>-15.61</v>
      </c>
      <c r="H510" t="n">
        <v>-33.31</v>
      </c>
      <c r="I510" t="n">
        <v>35</v>
      </c>
      <c r="J510" t="n">
        <v>45</v>
      </c>
      <c r="K510" t="n">
        <v>35</v>
      </c>
      <c r="L510" t="b">
        <v>0</v>
      </c>
      <c r="M510" t="b">
        <v>0</v>
      </c>
      <c r="N510" t="inlineStr">
        <is>
          <t>AVOID</t>
        </is>
      </c>
    </row>
    <row r="511">
      <c r="A511" t="n">
        <v>510</v>
      </c>
      <c r="B511" t="inlineStr">
        <is>
          <t>ANAB</t>
        </is>
      </c>
      <c r="C511" t="inlineStr">
        <is>
          <t>2026-07-30</t>
        </is>
      </c>
      <c r="D511" t="n">
        <v>54.44</v>
      </c>
      <c r="E511" t="n">
        <v>36</v>
      </c>
      <c r="F511" t="n">
        <v>0.31</v>
      </c>
      <c r="G511" t="n">
        <v>-17.18</v>
      </c>
      <c r="H511" t="n">
        <v>-22.02</v>
      </c>
      <c r="I511" t="n">
        <v>35</v>
      </c>
      <c r="J511" t="n">
        <v>25</v>
      </c>
      <c r="K511" t="n">
        <v>35</v>
      </c>
      <c r="L511" t="b">
        <v>0</v>
      </c>
      <c r="M511" t="b">
        <v>0</v>
      </c>
      <c r="N511" t="inlineStr">
        <is>
          <t>AVOID</t>
        </is>
      </c>
    </row>
    <row r="512">
      <c r="A512" t="n">
        <v>511</v>
      </c>
      <c r="B512" t="inlineStr">
        <is>
          <t>RILY</t>
        </is>
      </c>
      <c r="C512" t="inlineStr">
        <is>
          <t>2026-07-30</t>
        </is>
      </c>
      <c r="D512" t="n">
        <v>7.1</v>
      </c>
      <c r="E512" t="n">
        <v>48.04</v>
      </c>
      <c r="F512" t="n">
        <v>0.91</v>
      </c>
      <c r="G512" t="n">
        <v>-17.35</v>
      </c>
      <c r="H512" t="n">
        <v>-33.52</v>
      </c>
      <c r="I512" t="n">
        <v>35</v>
      </c>
      <c r="J512" t="n">
        <v>65</v>
      </c>
      <c r="K512" t="n">
        <v>35</v>
      </c>
      <c r="L512" t="b">
        <v>0</v>
      </c>
      <c r="M512" t="b">
        <v>0</v>
      </c>
      <c r="N512" t="inlineStr">
        <is>
          <t>AVOID</t>
        </is>
      </c>
    </row>
    <row r="513">
      <c r="A513" t="n">
        <v>512</v>
      </c>
      <c r="B513" t="inlineStr">
        <is>
          <t>ALGM</t>
        </is>
      </c>
      <c r="C513" t="inlineStr">
        <is>
          <t>2026-07-30</t>
        </is>
      </c>
      <c r="D513" t="n">
        <v>39.24</v>
      </c>
      <c r="E513" t="n">
        <v>21.6</v>
      </c>
      <c r="F513" t="n">
        <v>1.35</v>
      </c>
      <c r="G513" t="n">
        <v>-19.09</v>
      </c>
      <c r="H513" t="n">
        <v>-43.64</v>
      </c>
      <c r="I513" t="n">
        <v>25</v>
      </c>
      <c r="J513" t="n">
        <v>40</v>
      </c>
      <c r="K513" t="n">
        <v>35</v>
      </c>
      <c r="L513" t="b">
        <v>0</v>
      </c>
      <c r="M513" t="b">
        <v>0</v>
      </c>
      <c r="N513" t="inlineStr">
        <is>
          <t>AVOID</t>
        </is>
      </c>
    </row>
    <row r="514">
      <c r="A514" t="n">
        <v>513</v>
      </c>
      <c r="B514" t="inlineStr">
        <is>
          <t>WIX</t>
        </is>
      </c>
      <c r="C514" t="inlineStr">
        <is>
          <t>2026-07-30</t>
        </is>
      </c>
      <c r="D514" t="n">
        <v>56.24</v>
      </c>
      <c r="E514" t="n">
        <v>60.51</v>
      </c>
      <c r="F514" t="n">
        <v>0.98</v>
      </c>
      <c r="G514" t="n">
        <v>-24.7</v>
      </c>
      <c r="H514" t="n">
        <v>-69.47</v>
      </c>
      <c r="I514" t="n">
        <v>35</v>
      </c>
      <c r="J514" t="n">
        <v>45</v>
      </c>
      <c r="K514" t="n">
        <v>35</v>
      </c>
      <c r="L514" t="b">
        <v>0</v>
      </c>
      <c r="M514" t="b">
        <v>0</v>
      </c>
      <c r="N514" t="inlineStr">
        <is>
          <t>AVOID</t>
        </is>
      </c>
    </row>
    <row r="515">
      <c r="A515" t="n">
        <v>514</v>
      </c>
      <c r="B515" t="inlineStr">
        <is>
          <t>TMDX</t>
        </is>
      </c>
      <c r="C515" t="inlineStr">
        <is>
          <t>2026-07-30</t>
        </is>
      </c>
      <c r="D515" t="n">
        <v>74.84999999999999</v>
      </c>
      <c r="E515" t="n">
        <v>57.67</v>
      </c>
      <c r="F515" t="n">
        <v>0.72</v>
      </c>
      <c r="G515" t="n">
        <v>-25.74</v>
      </c>
      <c r="H515" t="n">
        <v>-50.24</v>
      </c>
      <c r="I515" t="n">
        <v>35</v>
      </c>
      <c r="J515" t="n">
        <v>60</v>
      </c>
      <c r="K515" t="n">
        <v>35</v>
      </c>
      <c r="L515" t="b">
        <v>0</v>
      </c>
      <c r="M515" t="b">
        <v>0</v>
      </c>
      <c r="N515" t="inlineStr">
        <is>
          <t>AVOID</t>
        </is>
      </c>
    </row>
    <row r="516">
      <c r="A516" t="n">
        <v>515</v>
      </c>
      <c r="B516" t="inlineStr">
        <is>
          <t>FWRD</t>
        </is>
      </c>
      <c r="C516" t="inlineStr">
        <is>
          <t>2026-07-30</t>
        </is>
      </c>
      <c r="D516" t="n">
        <v>13.99</v>
      </c>
      <c r="E516" t="n">
        <v>53.92</v>
      </c>
      <c r="F516" t="n">
        <v>0.48</v>
      </c>
      <c r="G516" t="n">
        <v>-33.57</v>
      </c>
      <c r="H516" t="n">
        <v>-55.95</v>
      </c>
      <c r="I516" t="n">
        <v>35</v>
      </c>
      <c r="J516" t="n">
        <v>60</v>
      </c>
      <c r="K516" t="n">
        <v>35</v>
      </c>
      <c r="L516" t="b">
        <v>0</v>
      </c>
      <c r="M516" t="b">
        <v>0</v>
      </c>
      <c r="N516" t="inlineStr">
        <is>
          <t>AVOID</t>
        </is>
      </c>
    </row>
    <row r="517">
      <c r="A517" t="n">
        <v>516</v>
      </c>
      <c r="B517" t="inlineStr">
        <is>
          <t>NXTC</t>
        </is>
      </c>
      <c r="C517" t="inlineStr">
        <is>
          <t>2026-07-30</t>
        </is>
      </c>
      <c r="D517" t="n">
        <v>4.43</v>
      </c>
      <c r="E517" t="n">
        <v>63.17</v>
      </c>
      <c r="F517" t="n">
        <v>0.11</v>
      </c>
      <c r="G517" t="n">
        <v>-51.9</v>
      </c>
      <c r="H517" t="n">
        <v>-68.95999999999999</v>
      </c>
      <c r="I517" t="n">
        <v>35</v>
      </c>
      <c r="J517" t="n">
        <v>45</v>
      </c>
      <c r="K517" t="n">
        <v>35</v>
      </c>
      <c r="L517" t="b">
        <v>0</v>
      </c>
      <c r="M517" t="b">
        <v>0</v>
      </c>
      <c r="N517" t="inlineStr">
        <is>
          <t>AVOID</t>
        </is>
      </c>
    </row>
    <row r="518">
      <c r="A518" t="n">
        <v>517</v>
      </c>
      <c r="B518" t="inlineStr">
        <is>
          <t>MDB</t>
        </is>
      </c>
      <c r="C518" t="inlineStr">
        <is>
          <t>2026-07-30</t>
        </is>
      </c>
      <c r="D518" t="n">
        <v>322.78</v>
      </c>
      <c r="E518" t="n">
        <v>40.71</v>
      </c>
      <c r="F518" t="n">
        <v>0.8100000000000001</v>
      </c>
      <c r="G518" t="n">
        <v>28.68</v>
      </c>
      <c r="H518" t="n">
        <v>-26.74</v>
      </c>
      <c r="I518" t="n">
        <v>10</v>
      </c>
      <c r="J518" t="n">
        <v>15</v>
      </c>
      <c r="K518" t="n">
        <v>30</v>
      </c>
      <c r="L518" t="b">
        <v>0</v>
      </c>
      <c r="M518" t="b">
        <v>0</v>
      </c>
      <c r="N518" t="inlineStr">
        <is>
          <t>AVOID</t>
        </is>
      </c>
    </row>
    <row r="519">
      <c r="A519" t="n">
        <v>518</v>
      </c>
      <c r="B519" t="inlineStr">
        <is>
          <t>THRY</t>
        </is>
      </c>
      <c r="C519" t="inlineStr">
        <is>
          <t>2026-07-30</t>
        </is>
      </c>
      <c r="D519" t="n">
        <v>4.05</v>
      </c>
      <c r="E519" t="n">
        <v>48.75</v>
      </c>
      <c r="F519" t="n">
        <v>0.62</v>
      </c>
      <c r="G519" t="n">
        <v>13.27</v>
      </c>
      <c r="H519" t="n">
        <v>-70.72</v>
      </c>
      <c r="I519" t="n">
        <v>20</v>
      </c>
      <c r="J519" t="n">
        <v>60</v>
      </c>
      <c r="K519" t="n">
        <v>30</v>
      </c>
      <c r="L519" t="b">
        <v>0</v>
      </c>
      <c r="M519" t="b">
        <v>0</v>
      </c>
      <c r="N519" t="inlineStr">
        <is>
          <t>AVOID</t>
        </is>
      </c>
    </row>
    <row r="520">
      <c r="A520" t="n">
        <v>519</v>
      </c>
      <c r="B520" t="inlineStr">
        <is>
          <t>CHKP</t>
        </is>
      </c>
      <c r="C520" t="inlineStr">
        <is>
          <t>2026-07-30</t>
        </is>
      </c>
      <c r="D520" t="n">
        <v>127.37</v>
      </c>
      <c r="E520" t="n">
        <v>45.81</v>
      </c>
      <c r="F520" t="n">
        <v>1.31</v>
      </c>
      <c r="G520" t="n">
        <v>13.25</v>
      </c>
      <c r="H520" t="n">
        <v>-38.44</v>
      </c>
      <c r="I520" t="n">
        <v>10</v>
      </c>
      <c r="J520" t="n">
        <v>40</v>
      </c>
      <c r="K520" t="n">
        <v>30</v>
      </c>
      <c r="L520" t="b">
        <v>0</v>
      </c>
      <c r="M520" t="b">
        <v>0</v>
      </c>
      <c r="N520" t="inlineStr">
        <is>
          <t>AVOID</t>
        </is>
      </c>
    </row>
    <row r="521">
      <c r="A521" t="n">
        <v>520</v>
      </c>
      <c r="B521" t="inlineStr">
        <is>
          <t>RDNT</t>
        </is>
      </c>
      <c r="C521" t="inlineStr">
        <is>
          <t>2026-07-30</t>
        </is>
      </c>
      <c r="D521" t="n">
        <v>63.49</v>
      </c>
      <c r="E521" t="n">
        <v>43.55</v>
      </c>
      <c r="F521" t="n">
        <v>0.38</v>
      </c>
      <c r="G521" t="n">
        <v>12.28</v>
      </c>
      <c r="H521" t="n">
        <v>-24.84</v>
      </c>
      <c r="I521" t="n">
        <v>20</v>
      </c>
      <c r="J521" t="n">
        <v>35</v>
      </c>
      <c r="K521" t="n">
        <v>30</v>
      </c>
      <c r="L521" t="b">
        <v>0</v>
      </c>
      <c r="M521" t="b">
        <v>0</v>
      </c>
      <c r="N521" t="inlineStr">
        <is>
          <t>AVOID</t>
        </is>
      </c>
    </row>
    <row r="522">
      <c r="A522" t="n">
        <v>521</v>
      </c>
      <c r="B522" t="inlineStr">
        <is>
          <t>ALT</t>
        </is>
      </c>
      <c r="C522" t="inlineStr">
        <is>
          <t>2026-07-30</t>
        </is>
      </c>
      <c r="D522" t="n">
        <v>2.9</v>
      </c>
      <c r="E522" t="n">
        <v>40.74</v>
      </c>
      <c r="F522" t="n">
        <v>0.76</v>
      </c>
      <c r="G522" t="n">
        <v>11.54</v>
      </c>
      <c r="H522" t="n">
        <v>-53.07</v>
      </c>
      <c r="I522" t="n">
        <v>20</v>
      </c>
      <c r="J522" t="n">
        <v>35</v>
      </c>
      <c r="K522" t="n">
        <v>30</v>
      </c>
      <c r="L522" t="b">
        <v>0</v>
      </c>
      <c r="M522" t="b">
        <v>0</v>
      </c>
      <c r="N522" t="inlineStr">
        <is>
          <t>AVOID</t>
        </is>
      </c>
    </row>
    <row r="523">
      <c r="A523" t="n">
        <v>522</v>
      </c>
      <c r="B523" t="inlineStr">
        <is>
          <t>VSEC</t>
        </is>
      </c>
      <c r="C523" t="inlineStr">
        <is>
          <t>2026-07-30</t>
        </is>
      </c>
      <c r="D523" t="n">
        <v>189.33</v>
      </c>
      <c r="E523" t="n">
        <v>34.01</v>
      </c>
      <c r="F523" t="n">
        <v>0.34</v>
      </c>
      <c r="G523" t="n">
        <v>10.33</v>
      </c>
      <c r="H523" t="n">
        <v>-20.41</v>
      </c>
      <c r="I523" t="n">
        <v>20</v>
      </c>
      <c r="J523" t="n">
        <v>0</v>
      </c>
      <c r="K523" t="n">
        <v>30</v>
      </c>
      <c r="L523" t="b">
        <v>0</v>
      </c>
      <c r="M523" t="b">
        <v>0</v>
      </c>
      <c r="N523" t="inlineStr">
        <is>
          <t>AVOID</t>
        </is>
      </c>
    </row>
    <row r="524">
      <c r="A524" t="n">
        <v>523</v>
      </c>
      <c r="B524" t="inlineStr">
        <is>
          <t>LYFT</t>
        </is>
      </c>
      <c r="C524" t="inlineStr">
        <is>
          <t>2026-07-30</t>
        </is>
      </c>
      <c r="D524" t="n">
        <v>15.41</v>
      </c>
      <c r="E524" t="n">
        <v>47.79</v>
      </c>
      <c r="F524" t="n">
        <v>0.49</v>
      </c>
      <c r="G524" t="n">
        <v>8.94</v>
      </c>
      <c r="H524" t="n">
        <v>-37.26</v>
      </c>
      <c r="I524" t="n">
        <v>30</v>
      </c>
      <c r="J524" t="n">
        <v>60</v>
      </c>
      <c r="K524" t="n">
        <v>30</v>
      </c>
      <c r="L524" t="b">
        <v>0</v>
      </c>
      <c r="M524" t="b">
        <v>0</v>
      </c>
      <c r="N524" t="inlineStr">
        <is>
          <t>AVOID</t>
        </is>
      </c>
    </row>
    <row r="525">
      <c r="A525" t="n">
        <v>524</v>
      </c>
      <c r="B525" t="inlineStr">
        <is>
          <t>NCLH</t>
        </is>
      </c>
      <c r="C525" t="inlineStr">
        <is>
          <t>2026-07-30</t>
        </is>
      </c>
      <c r="D525" t="n">
        <v>18.98</v>
      </c>
      <c r="E525" t="n">
        <v>44.96</v>
      </c>
      <c r="F525" t="n">
        <v>1.91</v>
      </c>
      <c r="G525" t="n">
        <v>4.37</v>
      </c>
      <c r="H525" t="n">
        <v>-29.57</v>
      </c>
      <c r="I525" t="n">
        <v>10</v>
      </c>
      <c r="J525" t="n">
        <v>30</v>
      </c>
      <c r="K525" t="n">
        <v>30</v>
      </c>
      <c r="L525" t="b">
        <v>0</v>
      </c>
      <c r="M525" t="b">
        <v>0</v>
      </c>
      <c r="N525" t="inlineStr">
        <is>
          <t>AVOID</t>
        </is>
      </c>
    </row>
    <row r="526">
      <c r="A526" t="n">
        <v>525</v>
      </c>
      <c r="B526" t="inlineStr">
        <is>
          <t>STNE</t>
        </is>
      </c>
      <c r="C526" t="inlineStr">
        <is>
          <t>2026-07-30</t>
        </is>
      </c>
      <c r="D526" t="n">
        <v>11.18</v>
      </c>
      <c r="E526" t="n">
        <v>49.27</v>
      </c>
      <c r="F526" t="n">
        <v>0.42</v>
      </c>
      <c r="G526" t="n">
        <v>1.82</v>
      </c>
      <c r="H526" t="n">
        <v>-30.46</v>
      </c>
      <c r="I526" t="n">
        <v>30</v>
      </c>
      <c r="J526" t="n">
        <v>60</v>
      </c>
      <c r="K526" t="n">
        <v>30</v>
      </c>
      <c r="L526" t="b">
        <v>0</v>
      </c>
      <c r="M526" t="b">
        <v>0</v>
      </c>
      <c r="N526" t="inlineStr">
        <is>
          <t>AVOID</t>
        </is>
      </c>
    </row>
    <row r="527">
      <c r="A527" t="n">
        <v>526</v>
      </c>
      <c r="B527" t="inlineStr">
        <is>
          <t>SLGN</t>
        </is>
      </c>
      <c r="C527" t="inlineStr">
        <is>
          <t>2026-07-30</t>
        </is>
      </c>
      <c r="D527" t="n">
        <v>40.84</v>
      </c>
      <c r="E527" t="n">
        <v>35.84</v>
      </c>
      <c r="F527" t="n">
        <v>1.2</v>
      </c>
      <c r="G527" t="n">
        <v>1.28</v>
      </c>
      <c r="H527" t="n">
        <v>-15.58</v>
      </c>
      <c r="I527" t="n">
        <v>20</v>
      </c>
      <c r="J527" t="n">
        <v>15</v>
      </c>
      <c r="K527" t="n">
        <v>30</v>
      </c>
      <c r="L527" t="b">
        <v>0</v>
      </c>
      <c r="M527" t="b">
        <v>0</v>
      </c>
      <c r="N527" t="inlineStr">
        <is>
          <t>AVOID</t>
        </is>
      </c>
    </row>
    <row r="528">
      <c r="A528" t="n">
        <v>527</v>
      </c>
      <c r="B528" t="inlineStr">
        <is>
          <t>EXC</t>
        </is>
      </c>
      <c r="C528" t="inlineStr">
        <is>
          <t>2026-07-30</t>
        </is>
      </c>
      <c r="D528" t="n">
        <v>45.37</v>
      </c>
      <c r="E528" t="n">
        <v>40.73</v>
      </c>
      <c r="F528" t="n">
        <v>1.08</v>
      </c>
      <c r="G528" t="n">
        <v>-0.42</v>
      </c>
      <c r="H528" t="n">
        <v>-8.93</v>
      </c>
      <c r="I528" t="n">
        <v>20</v>
      </c>
      <c r="J528" t="n">
        <v>15</v>
      </c>
      <c r="K528" t="n">
        <v>30</v>
      </c>
      <c r="L528" t="b">
        <v>0</v>
      </c>
      <c r="M528" t="b">
        <v>0</v>
      </c>
      <c r="N528" t="inlineStr">
        <is>
          <t>AVOID</t>
        </is>
      </c>
    </row>
    <row r="529">
      <c r="A529" t="n">
        <v>528</v>
      </c>
      <c r="B529" t="inlineStr">
        <is>
          <t>NICE</t>
        </is>
      </c>
      <c r="C529" t="inlineStr">
        <is>
          <t>2026-07-30</t>
        </is>
      </c>
      <c r="D529" t="n">
        <v>98.20999999999999</v>
      </c>
      <c r="E529" t="n">
        <v>48.4</v>
      </c>
      <c r="F529" t="n">
        <v>0.58</v>
      </c>
      <c r="G529" t="n">
        <v>-3.73</v>
      </c>
      <c r="H529" t="n">
        <v>-39.04</v>
      </c>
      <c r="I529" t="n">
        <v>30</v>
      </c>
      <c r="J529" t="n">
        <v>60</v>
      </c>
      <c r="K529" t="n">
        <v>30</v>
      </c>
      <c r="L529" t="b">
        <v>0</v>
      </c>
      <c r="M529" t="b">
        <v>0</v>
      </c>
      <c r="N529" t="inlineStr">
        <is>
          <t>AVOID</t>
        </is>
      </c>
    </row>
    <row r="530">
      <c r="A530" t="n">
        <v>529</v>
      </c>
      <c r="B530" t="inlineStr">
        <is>
          <t>MOMO</t>
        </is>
      </c>
      <c r="C530" t="inlineStr">
        <is>
          <t>2026-07-30</t>
        </is>
      </c>
      <c r="D530" t="n">
        <v>5.99</v>
      </c>
      <c r="E530" t="n">
        <v>46.45</v>
      </c>
      <c r="F530" t="n">
        <v>0.62</v>
      </c>
      <c r="G530" t="n">
        <v>-3.93</v>
      </c>
      <c r="H530" t="n">
        <v>-26.29</v>
      </c>
      <c r="I530" t="n">
        <v>30</v>
      </c>
      <c r="J530" t="n">
        <v>60</v>
      </c>
      <c r="K530" t="n">
        <v>30</v>
      </c>
      <c r="L530" t="b">
        <v>0</v>
      </c>
      <c r="M530" t="b">
        <v>0</v>
      </c>
      <c r="N530" t="inlineStr">
        <is>
          <t>AVOID</t>
        </is>
      </c>
    </row>
    <row r="531">
      <c r="A531" t="n">
        <v>530</v>
      </c>
      <c r="B531" t="inlineStr">
        <is>
          <t>VREX</t>
        </is>
      </c>
      <c r="C531" t="inlineStr">
        <is>
          <t>2026-07-30</t>
        </is>
      </c>
      <c r="D531" t="n">
        <v>10.97</v>
      </c>
      <c r="E531" t="n">
        <v>47.83</v>
      </c>
      <c r="F531" t="n">
        <v>0.35</v>
      </c>
      <c r="G531" t="n">
        <v>-5.84</v>
      </c>
      <c r="H531" t="n">
        <v>-23.61</v>
      </c>
      <c r="I531" t="n">
        <v>30</v>
      </c>
      <c r="J531" t="n">
        <v>60</v>
      </c>
      <c r="K531" t="n">
        <v>30</v>
      </c>
      <c r="L531" t="b">
        <v>0</v>
      </c>
      <c r="M531" t="b">
        <v>0</v>
      </c>
      <c r="N531" t="inlineStr">
        <is>
          <t>AVOID</t>
        </is>
      </c>
    </row>
    <row r="532">
      <c r="A532" t="n">
        <v>531</v>
      </c>
      <c r="B532" t="inlineStr">
        <is>
          <t>LECO</t>
        </is>
      </c>
      <c r="C532" t="inlineStr">
        <is>
          <t>2026-07-30</t>
        </is>
      </c>
      <c r="D532" t="n">
        <v>248.23</v>
      </c>
      <c r="E532" t="n">
        <v>47.83</v>
      </c>
      <c r="F532" t="n">
        <v>1.68</v>
      </c>
      <c r="G532" t="n">
        <v>-6.05</v>
      </c>
      <c r="H532" t="n">
        <v>-16.43</v>
      </c>
      <c r="I532" t="n">
        <v>10</v>
      </c>
      <c r="J532" t="n">
        <v>55</v>
      </c>
      <c r="K532" t="n">
        <v>30</v>
      </c>
      <c r="L532" t="b">
        <v>0</v>
      </c>
      <c r="M532" t="b">
        <v>0</v>
      </c>
      <c r="N532" t="inlineStr">
        <is>
          <t>AVOID</t>
        </is>
      </c>
    </row>
    <row r="533">
      <c r="A533" t="n">
        <v>532</v>
      </c>
      <c r="B533" t="inlineStr">
        <is>
          <t>ARVN</t>
        </is>
      </c>
      <c r="C533" t="inlineStr">
        <is>
          <t>2026-07-30</t>
        </is>
      </c>
      <c r="D533" t="n">
        <v>8.26</v>
      </c>
      <c r="E533" t="n">
        <v>49.64</v>
      </c>
      <c r="F533" t="n">
        <v>0.51</v>
      </c>
      <c r="G533" t="n">
        <v>-16.57</v>
      </c>
      <c r="H533" t="n">
        <v>-40.27</v>
      </c>
      <c r="I533" t="n">
        <v>30</v>
      </c>
      <c r="J533" t="n">
        <v>60</v>
      </c>
      <c r="K533" t="n">
        <v>30</v>
      </c>
      <c r="L533" t="b">
        <v>0</v>
      </c>
      <c r="M533" t="b">
        <v>0</v>
      </c>
      <c r="N533" t="inlineStr">
        <is>
          <t>AVOID</t>
        </is>
      </c>
    </row>
    <row r="534">
      <c r="A534" t="n">
        <v>533</v>
      </c>
      <c r="B534" t="inlineStr">
        <is>
          <t>IMTX</t>
        </is>
      </c>
      <c r="C534" t="inlineStr">
        <is>
          <t>2026-07-30</t>
        </is>
      </c>
      <c r="D534" t="n">
        <v>9.15</v>
      </c>
      <c r="E534" t="n">
        <v>41.25</v>
      </c>
      <c r="F534" t="n">
        <v>3.16</v>
      </c>
      <c r="G534" t="n">
        <v>-16.74</v>
      </c>
      <c r="H534" t="n">
        <v>-22.91</v>
      </c>
      <c r="I534" t="n">
        <v>0</v>
      </c>
      <c r="J534" t="n">
        <v>30</v>
      </c>
      <c r="K534" t="n">
        <v>30</v>
      </c>
      <c r="L534" t="b">
        <v>0</v>
      </c>
      <c r="M534" t="b">
        <v>0</v>
      </c>
      <c r="N534" t="inlineStr">
        <is>
          <t>AVOID</t>
        </is>
      </c>
    </row>
    <row r="535">
      <c r="A535" t="n">
        <v>534</v>
      </c>
      <c r="B535" t="inlineStr">
        <is>
          <t>CHDN</t>
        </is>
      </c>
      <c r="C535" t="inlineStr">
        <is>
          <t>2026-07-30</t>
        </is>
      </c>
      <c r="D535" t="n">
        <v>81.42</v>
      </c>
      <c r="E535" t="n">
        <v>41.4</v>
      </c>
      <c r="F535" t="n">
        <v>2.63</v>
      </c>
      <c r="G535" t="n">
        <v>-19.38</v>
      </c>
      <c r="H535" t="n">
        <v>-30.76</v>
      </c>
      <c r="I535" t="n">
        <v>0</v>
      </c>
      <c r="J535" t="n">
        <v>15</v>
      </c>
      <c r="K535" t="n">
        <v>30</v>
      </c>
      <c r="L535" t="b">
        <v>0</v>
      </c>
      <c r="M535" t="b">
        <v>0</v>
      </c>
      <c r="N535" t="inlineStr">
        <is>
          <t>AVOID</t>
        </is>
      </c>
    </row>
    <row r="536">
      <c r="A536" t="n">
        <v>535</v>
      </c>
      <c r="B536" t="inlineStr">
        <is>
          <t>LKQ</t>
        </is>
      </c>
      <c r="C536" t="inlineStr">
        <is>
          <t>2026-07-30</t>
        </is>
      </c>
      <c r="D536" t="n">
        <v>22.73</v>
      </c>
      <c r="E536" t="n">
        <v>35.33</v>
      </c>
      <c r="F536" t="n">
        <v>2.69</v>
      </c>
      <c r="G536" t="n">
        <v>-27.18</v>
      </c>
      <c r="H536" t="n">
        <v>-33.27</v>
      </c>
      <c r="I536" t="n">
        <v>0</v>
      </c>
      <c r="J536" t="n">
        <v>15</v>
      </c>
      <c r="K536" t="n">
        <v>30</v>
      </c>
      <c r="L536" t="b">
        <v>0</v>
      </c>
      <c r="M536" t="b">
        <v>0</v>
      </c>
      <c r="N536" t="inlineStr">
        <is>
          <t>AVOID</t>
        </is>
      </c>
    </row>
    <row r="537">
      <c r="A537" t="n">
        <v>536</v>
      </c>
      <c r="B537" t="inlineStr">
        <is>
          <t>ALNY</t>
        </is>
      </c>
      <c r="C537" t="inlineStr">
        <is>
          <t>2026-07-30</t>
        </is>
      </c>
      <c r="D537" t="n">
        <v>200.49</v>
      </c>
      <c r="E537" t="n">
        <v>19.2</v>
      </c>
      <c r="F537" t="n">
        <v>3.8</v>
      </c>
      <c r="G537" t="n">
        <v>-35.22</v>
      </c>
      <c r="H537" t="n">
        <v>-59.19</v>
      </c>
      <c r="I537" t="n">
        <v>0</v>
      </c>
      <c r="J537" t="n">
        <v>15</v>
      </c>
      <c r="K537" t="n">
        <v>30</v>
      </c>
      <c r="L537" t="b">
        <v>0</v>
      </c>
      <c r="M537" t="b">
        <v>0</v>
      </c>
      <c r="N537" t="inlineStr">
        <is>
          <t>AVOID</t>
        </is>
      </c>
    </row>
    <row r="538">
      <c r="A538" t="n">
        <v>537</v>
      </c>
      <c r="B538" t="inlineStr">
        <is>
          <t>ADTN</t>
        </is>
      </c>
      <c r="C538" t="inlineStr">
        <is>
          <t>2026-07-30</t>
        </is>
      </c>
      <c r="D538" t="n">
        <v>8.27</v>
      </c>
      <c r="E538" t="n">
        <v>10.77</v>
      </c>
      <c r="F538" t="n">
        <v>1.85</v>
      </c>
      <c r="G538" t="n">
        <v>-53.25</v>
      </c>
      <c r="H538" t="n">
        <v>-57.37</v>
      </c>
      <c r="I538" t="n">
        <v>10</v>
      </c>
      <c r="J538" t="n">
        <v>15</v>
      </c>
      <c r="K538" t="n">
        <v>30</v>
      </c>
      <c r="L538" t="b">
        <v>0</v>
      </c>
      <c r="M538" t="b">
        <v>0</v>
      </c>
      <c r="N538" t="inlineStr">
        <is>
          <t>AVOID</t>
        </is>
      </c>
    </row>
    <row r="539">
      <c r="A539" t="n">
        <v>538</v>
      </c>
      <c r="B539" t="inlineStr">
        <is>
          <t>VIVO</t>
        </is>
      </c>
      <c r="C539" t="inlineStr">
        <is>
          <t>2026-07-30</t>
        </is>
      </c>
      <c r="D539" t="n">
        <v>3.65</v>
      </c>
      <c r="E539" t="n">
        <v>31.1</v>
      </c>
      <c r="F539" t="n">
        <v>0.73</v>
      </c>
      <c r="G539" t="n">
        <v>9.94</v>
      </c>
      <c r="H539" t="n">
        <v>-44.7</v>
      </c>
      <c r="I539" t="n">
        <v>25</v>
      </c>
      <c r="J539" t="n">
        <v>25</v>
      </c>
      <c r="K539" t="n">
        <v>25</v>
      </c>
      <c r="L539" t="b">
        <v>0</v>
      </c>
      <c r="M539" t="b">
        <v>0</v>
      </c>
      <c r="N539" t="inlineStr">
        <is>
          <t>AVOID</t>
        </is>
      </c>
    </row>
    <row r="540">
      <c r="A540" t="n">
        <v>539</v>
      </c>
      <c r="B540" t="inlineStr">
        <is>
          <t>AKAM</t>
        </is>
      </c>
      <c r="C540" t="inlineStr">
        <is>
          <t>2026-07-30</t>
        </is>
      </c>
      <c r="D540" t="n">
        <v>112.46</v>
      </c>
      <c r="E540" t="n">
        <v>31.93</v>
      </c>
      <c r="F540" t="n">
        <v>0.45</v>
      </c>
      <c r="G540" t="n">
        <v>9.210000000000001</v>
      </c>
      <c r="H540" t="n">
        <v>-30.21</v>
      </c>
      <c r="I540" t="n">
        <v>25</v>
      </c>
      <c r="J540" t="n">
        <v>25</v>
      </c>
      <c r="K540" t="n">
        <v>25</v>
      </c>
      <c r="L540" t="b">
        <v>0</v>
      </c>
      <c r="M540" t="b">
        <v>0</v>
      </c>
      <c r="N540" t="inlineStr">
        <is>
          <t>AVOID</t>
        </is>
      </c>
    </row>
    <row r="541">
      <c r="A541" t="n">
        <v>540</v>
      </c>
      <c r="B541" t="inlineStr">
        <is>
          <t>CEVA</t>
        </is>
      </c>
      <c r="C541" t="inlineStr">
        <is>
          <t>2026-07-30</t>
        </is>
      </c>
      <c r="D541" t="n">
        <v>32.97</v>
      </c>
      <c r="E541" t="n">
        <v>26.92</v>
      </c>
      <c r="F541" t="n">
        <v>0.5</v>
      </c>
      <c r="G541" t="n">
        <v>7.94</v>
      </c>
      <c r="H541" t="n">
        <v>-34.15</v>
      </c>
      <c r="I541" t="n">
        <v>25</v>
      </c>
      <c r="J541" t="n">
        <v>25</v>
      </c>
      <c r="K541" t="n">
        <v>25</v>
      </c>
      <c r="L541" t="b">
        <v>0</v>
      </c>
      <c r="M541" t="b">
        <v>0</v>
      </c>
      <c r="N541" t="inlineStr">
        <is>
          <t>AVOID</t>
        </is>
      </c>
    </row>
    <row r="542">
      <c r="A542" t="n">
        <v>541</v>
      </c>
      <c r="B542" t="inlineStr">
        <is>
          <t>WSC</t>
        </is>
      </c>
      <c r="C542" t="inlineStr">
        <is>
          <t>2026-07-30</t>
        </is>
      </c>
      <c r="D542" t="n">
        <v>24.21</v>
      </c>
      <c r="E542" t="n">
        <v>35.94</v>
      </c>
      <c r="F542" t="n">
        <v>0.63</v>
      </c>
      <c r="G542" t="n">
        <v>7.23</v>
      </c>
      <c r="H542" t="n">
        <v>-18.55</v>
      </c>
      <c r="I542" t="n">
        <v>25</v>
      </c>
      <c r="J542" t="n">
        <v>25</v>
      </c>
      <c r="K542" t="n">
        <v>25</v>
      </c>
      <c r="L542" t="b">
        <v>0</v>
      </c>
      <c r="M542" t="b">
        <v>0</v>
      </c>
      <c r="N542" t="inlineStr">
        <is>
          <t>AVOID</t>
        </is>
      </c>
    </row>
    <row r="543">
      <c r="A543" t="n">
        <v>542</v>
      </c>
      <c r="B543" t="inlineStr">
        <is>
          <t>NOVT</t>
        </is>
      </c>
      <c r="C543" t="inlineStr">
        <is>
          <t>2026-07-30</t>
        </is>
      </c>
      <c r="D543" t="n">
        <v>138.82</v>
      </c>
      <c r="E543" t="n">
        <v>22.37</v>
      </c>
      <c r="F543" t="n">
        <v>0.61</v>
      </c>
      <c r="G543" t="n">
        <v>7.17</v>
      </c>
      <c r="H543" t="n">
        <v>-17.66</v>
      </c>
      <c r="I543" t="n">
        <v>25</v>
      </c>
      <c r="J543" t="n">
        <v>25</v>
      </c>
      <c r="K543" t="n">
        <v>25</v>
      </c>
      <c r="L543" t="b">
        <v>0</v>
      </c>
      <c r="M543" t="b">
        <v>0</v>
      </c>
      <c r="N543" t="inlineStr">
        <is>
          <t>AVOID</t>
        </is>
      </c>
    </row>
    <row r="544">
      <c r="A544" t="n">
        <v>543</v>
      </c>
      <c r="B544" t="inlineStr">
        <is>
          <t>CNXC</t>
        </is>
      </c>
      <c r="C544" t="inlineStr">
        <is>
          <t>2026-07-30</t>
        </is>
      </c>
      <c r="D544" t="n">
        <v>24.85</v>
      </c>
      <c r="E544" t="n">
        <v>59.18</v>
      </c>
      <c r="F544" t="n">
        <v>0.25</v>
      </c>
      <c r="G544" t="n">
        <v>6.09</v>
      </c>
      <c r="H544" t="n">
        <v>-54.37</v>
      </c>
      <c r="I544" t="n">
        <v>25</v>
      </c>
      <c r="J544" t="n">
        <v>45</v>
      </c>
      <c r="K544" t="n">
        <v>25</v>
      </c>
      <c r="L544" t="b">
        <v>0</v>
      </c>
      <c r="M544" t="b">
        <v>0</v>
      </c>
      <c r="N544" t="inlineStr">
        <is>
          <t>AVOID</t>
        </is>
      </c>
    </row>
    <row r="545">
      <c r="A545" t="n">
        <v>544</v>
      </c>
      <c r="B545" t="inlineStr">
        <is>
          <t>UCTT</t>
        </is>
      </c>
      <c r="C545" t="inlineStr">
        <is>
          <t>2026-07-30</t>
        </is>
      </c>
      <c r="D545" t="n">
        <v>82.53</v>
      </c>
      <c r="E545" t="n">
        <v>36.43</v>
      </c>
      <c r="F545" t="n">
        <v>0.73</v>
      </c>
      <c r="G545" t="n">
        <v>5.6</v>
      </c>
      <c r="H545" t="n">
        <v>-42.12</v>
      </c>
      <c r="I545" t="n">
        <v>25</v>
      </c>
      <c r="J545" t="n">
        <v>25</v>
      </c>
      <c r="K545" t="n">
        <v>25</v>
      </c>
      <c r="L545" t="b">
        <v>0</v>
      </c>
      <c r="M545" t="b">
        <v>0</v>
      </c>
      <c r="N545" t="inlineStr">
        <is>
          <t>AVOID</t>
        </is>
      </c>
    </row>
    <row r="546">
      <c r="A546" t="n">
        <v>545</v>
      </c>
      <c r="B546" t="inlineStr">
        <is>
          <t>PDFS</t>
        </is>
      </c>
      <c r="C546" t="inlineStr">
        <is>
          <t>2026-07-30</t>
        </is>
      </c>
      <c r="D546" t="n">
        <v>45.17</v>
      </c>
      <c r="E546" t="n">
        <v>34.06</v>
      </c>
      <c r="F546" t="n">
        <v>0.4</v>
      </c>
      <c r="G546" t="n">
        <v>5.4</v>
      </c>
      <c r="H546" t="n">
        <v>-36.2</v>
      </c>
      <c r="I546" t="n">
        <v>25</v>
      </c>
      <c r="J546" t="n">
        <v>25</v>
      </c>
      <c r="K546" t="n">
        <v>25</v>
      </c>
      <c r="L546" t="b">
        <v>0</v>
      </c>
      <c r="M546" t="b">
        <v>0</v>
      </c>
      <c r="N546" t="inlineStr">
        <is>
          <t>AVOID</t>
        </is>
      </c>
    </row>
    <row r="547">
      <c r="A547" t="n">
        <v>546</v>
      </c>
      <c r="B547" t="inlineStr">
        <is>
          <t>KLIC</t>
        </is>
      </c>
      <c r="C547" t="inlineStr">
        <is>
          <t>2026-07-30</t>
        </is>
      </c>
      <c r="D547" t="n">
        <v>88.68000000000001</v>
      </c>
      <c r="E547" t="n">
        <v>31.59</v>
      </c>
      <c r="F547" t="n">
        <v>0.84</v>
      </c>
      <c r="G547" t="n">
        <v>3.9</v>
      </c>
      <c r="H547" t="n">
        <v>-33.73</v>
      </c>
      <c r="I547" t="n">
        <v>25</v>
      </c>
      <c r="J547" t="n">
        <v>25</v>
      </c>
      <c r="K547" t="n">
        <v>25</v>
      </c>
      <c r="L547" t="b">
        <v>0</v>
      </c>
      <c r="M547" t="b">
        <v>0</v>
      </c>
      <c r="N547" t="inlineStr">
        <is>
          <t>AVOID</t>
        </is>
      </c>
    </row>
    <row r="548">
      <c r="A548" t="n">
        <v>547</v>
      </c>
      <c r="B548" t="inlineStr">
        <is>
          <t>KLAC</t>
        </is>
      </c>
      <c r="C548" t="inlineStr">
        <is>
          <t>2026-07-30</t>
        </is>
      </c>
      <c r="D548" t="n">
        <v>181.29</v>
      </c>
      <c r="E548" t="n">
        <v>28.47</v>
      </c>
      <c r="F548" t="n">
        <v>0.75</v>
      </c>
      <c r="G548" t="n">
        <v>3.71</v>
      </c>
      <c r="H548" t="n">
        <v>-39.91</v>
      </c>
      <c r="I548" t="n">
        <v>25</v>
      </c>
      <c r="J548" t="n">
        <v>25</v>
      </c>
      <c r="K548" t="n">
        <v>25</v>
      </c>
      <c r="L548" t="b">
        <v>0</v>
      </c>
      <c r="M548" t="b">
        <v>0</v>
      </c>
      <c r="N548" t="inlineStr">
        <is>
          <t>AVOID</t>
        </is>
      </c>
    </row>
    <row r="549">
      <c r="A549" t="n">
        <v>548</v>
      </c>
      <c r="B549" t="inlineStr">
        <is>
          <t>CTSH</t>
        </is>
      </c>
      <c r="C549" t="inlineStr">
        <is>
          <t>2026-07-30</t>
        </is>
      </c>
      <c r="D549" t="n">
        <v>54.23</v>
      </c>
      <c r="E549" t="n">
        <v>77.87</v>
      </c>
      <c r="F549" t="n">
        <v>0.74</v>
      </c>
      <c r="G549" t="n">
        <v>3.24</v>
      </c>
      <c r="H549" t="n">
        <v>-36.69</v>
      </c>
      <c r="I549" t="n">
        <v>25</v>
      </c>
      <c r="J549" t="n">
        <v>20</v>
      </c>
      <c r="K549" t="n">
        <v>25</v>
      </c>
      <c r="L549" t="b">
        <v>0</v>
      </c>
      <c r="M549" t="b">
        <v>0</v>
      </c>
      <c r="N549" t="inlineStr">
        <is>
          <t>AVOID</t>
        </is>
      </c>
    </row>
    <row r="550">
      <c r="A550" t="n">
        <v>549</v>
      </c>
      <c r="B550" t="inlineStr">
        <is>
          <t>GNTX</t>
        </is>
      </c>
      <c r="C550" t="inlineStr">
        <is>
          <t>2026-07-30</t>
        </is>
      </c>
      <c r="D550" t="n">
        <v>23.59</v>
      </c>
      <c r="E550" t="n">
        <v>44.28</v>
      </c>
      <c r="F550" t="n">
        <v>0.51</v>
      </c>
      <c r="G550" t="n">
        <v>2.59</v>
      </c>
      <c r="H550" t="n">
        <v>-17.18</v>
      </c>
      <c r="I550" t="n">
        <v>25</v>
      </c>
      <c r="J550" t="n">
        <v>40</v>
      </c>
      <c r="K550" t="n">
        <v>25</v>
      </c>
      <c r="L550" t="b">
        <v>0</v>
      </c>
      <c r="M550" t="b">
        <v>0</v>
      </c>
      <c r="N550" t="inlineStr">
        <is>
          <t>AVOID</t>
        </is>
      </c>
    </row>
    <row r="551">
      <c r="A551" t="n">
        <v>550</v>
      </c>
      <c r="B551" t="inlineStr">
        <is>
          <t>LSCC</t>
        </is>
      </c>
      <c r="C551" t="inlineStr">
        <is>
          <t>2026-07-30</t>
        </is>
      </c>
      <c r="D551" t="n">
        <v>125</v>
      </c>
      <c r="E551" t="n">
        <v>41.13</v>
      </c>
      <c r="F551" t="n">
        <v>0.61</v>
      </c>
      <c r="G551" t="n">
        <v>2.22</v>
      </c>
      <c r="H551" t="n">
        <v>-19.5</v>
      </c>
      <c r="I551" t="n">
        <v>25</v>
      </c>
      <c r="J551" t="n">
        <v>25</v>
      </c>
      <c r="K551" t="n">
        <v>25</v>
      </c>
      <c r="L551" t="b">
        <v>0</v>
      </c>
      <c r="M551" t="b">
        <v>0</v>
      </c>
      <c r="N551" t="inlineStr">
        <is>
          <t>AVOID</t>
        </is>
      </c>
    </row>
    <row r="552">
      <c r="A552" t="n">
        <v>551</v>
      </c>
      <c r="B552" t="inlineStr">
        <is>
          <t>MLCO</t>
        </is>
      </c>
      <c r="C552" t="inlineStr">
        <is>
          <t>2026-07-30</t>
        </is>
      </c>
      <c r="D552" t="n">
        <v>5.82</v>
      </c>
      <c r="E552" t="n">
        <v>62.36</v>
      </c>
      <c r="F552" t="n">
        <v>0.46</v>
      </c>
      <c r="G552" t="n">
        <v>0.95</v>
      </c>
      <c r="H552" t="n">
        <v>-42.5</v>
      </c>
      <c r="I552" t="n">
        <v>25</v>
      </c>
      <c r="J552" t="n">
        <v>45</v>
      </c>
      <c r="K552" t="n">
        <v>25</v>
      </c>
      <c r="L552" t="b">
        <v>0</v>
      </c>
      <c r="M552" t="b">
        <v>0</v>
      </c>
      <c r="N552" t="inlineStr">
        <is>
          <t>AVOID</t>
        </is>
      </c>
    </row>
    <row r="553">
      <c r="A553" t="n">
        <v>552</v>
      </c>
      <c r="B553" t="inlineStr">
        <is>
          <t>MAT</t>
        </is>
      </c>
      <c r="C553" t="inlineStr">
        <is>
          <t>2026-07-30</t>
        </is>
      </c>
      <c r="D553" t="n">
        <v>15.16</v>
      </c>
      <c r="E553" t="n">
        <v>72.56999999999999</v>
      </c>
      <c r="F553" t="n">
        <v>0.23</v>
      </c>
      <c r="G553" t="n">
        <v>0.5600000000000001</v>
      </c>
      <c r="H553" t="n">
        <v>-31.57</v>
      </c>
      <c r="I553" t="n">
        <v>25</v>
      </c>
      <c r="J553" t="n">
        <v>20</v>
      </c>
      <c r="K553" t="n">
        <v>25</v>
      </c>
      <c r="L553" t="b">
        <v>0</v>
      </c>
      <c r="M553" t="b">
        <v>0</v>
      </c>
      <c r="N553" t="inlineStr">
        <is>
          <t>AVOID</t>
        </is>
      </c>
    </row>
    <row r="554">
      <c r="A554" t="n">
        <v>553</v>
      </c>
      <c r="B554" t="inlineStr">
        <is>
          <t>CDNS</t>
        </is>
      </c>
      <c r="C554" t="inlineStr">
        <is>
          <t>2026-07-30</t>
        </is>
      </c>
      <c r="D554" t="n">
        <v>331.2</v>
      </c>
      <c r="E554" t="n">
        <v>27.81</v>
      </c>
      <c r="F554" t="n">
        <v>0.59</v>
      </c>
      <c r="G554" t="n">
        <v>0.49</v>
      </c>
      <c r="H554" t="n">
        <v>-20.46</v>
      </c>
      <c r="I554" t="n">
        <v>25</v>
      </c>
      <c r="J554" t="n">
        <v>25</v>
      </c>
      <c r="K554" t="n">
        <v>25</v>
      </c>
      <c r="L554" t="b">
        <v>0</v>
      </c>
      <c r="M554" t="b">
        <v>0</v>
      </c>
      <c r="N554" t="inlineStr">
        <is>
          <t>AVOID</t>
        </is>
      </c>
    </row>
    <row r="555">
      <c r="A555" t="n">
        <v>554</v>
      </c>
      <c r="B555" t="inlineStr">
        <is>
          <t>TXN</t>
        </is>
      </c>
      <c r="C555" t="inlineStr">
        <is>
          <t>2026-07-30</t>
        </is>
      </c>
      <c r="D555" t="n">
        <v>279.53</v>
      </c>
      <c r="E555" t="n">
        <v>30.69</v>
      </c>
      <c r="F555" t="n">
        <v>0.5600000000000001</v>
      </c>
      <c r="G555" t="n">
        <v>-0.05</v>
      </c>
      <c r="H555" t="n">
        <v>-15.88</v>
      </c>
      <c r="I555" t="n">
        <v>25</v>
      </c>
      <c r="J555" t="n">
        <v>25</v>
      </c>
      <c r="K555" t="n">
        <v>25</v>
      </c>
      <c r="L555" t="b">
        <v>0</v>
      </c>
      <c r="M555" t="b">
        <v>0</v>
      </c>
      <c r="N555" t="inlineStr">
        <is>
          <t>AVOID</t>
        </is>
      </c>
    </row>
    <row r="556">
      <c r="A556" t="n">
        <v>555</v>
      </c>
      <c r="B556" t="inlineStr">
        <is>
          <t>MARA</t>
        </is>
      </c>
      <c r="C556" t="inlineStr">
        <is>
          <t>2026-07-30</t>
        </is>
      </c>
      <c r="D556" t="n">
        <v>11.91</v>
      </c>
      <c r="E556" t="n">
        <v>46.12</v>
      </c>
      <c r="F556" t="n">
        <v>0.72</v>
      </c>
      <c r="G556" t="n">
        <v>-0.63</v>
      </c>
      <c r="H556" t="n">
        <v>-47.83</v>
      </c>
      <c r="I556" t="n">
        <v>25</v>
      </c>
      <c r="J556" t="n">
        <v>65</v>
      </c>
      <c r="K556" t="n">
        <v>25</v>
      </c>
      <c r="L556" t="b">
        <v>0</v>
      </c>
      <c r="M556" t="b">
        <v>0</v>
      </c>
      <c r="N556" t="inlineStr">
        <is>
          <t>AVOID</t>
        </is>
      </c>
    </row>
    <row r="557">
      <c r="A557" t="n">
        <v>556</v>
      </c>
      <c r="B557" t="inlineStr">
        <is>
          <t>ADSK</t>
        </is>
      </c>
      <c r="C557" t="inlineStr">
        <is>
          <t>2026-07-30</t>
        </is>
      </c>
      <c r="D557" t="n">
        <v>235.2</v>
      </c>
      <c r="E557" t="n">
        <v>65</v>
      </c>
      <c r="F557" t="n">
        <v>0.66</v>
      </c>
      <c r="G557" t="n">
        <v>-0.76</v>
      </c>
      <c r="H557" t="n">
        <v>-28.03</v>
      </c>
      <c r="I557" t="n">
        <v>25</v>
      </c>
      <c r="J557" t="n">
        <v>20</v>
      </c>
      <c r="K557" t="n">
        <v>25</v>
      </c>
      <c r="L557" t="b">
        <v>0</v>
      </c>
      <c r="M557" t="b">
        <v>0</v>
      </c>
      <c r="N557" t="inlineStr">
        <is>
          <t>AVOID</t>
        </is>
      </c>
    </row>
    <row r="558">
      <c r="A558" t="n">
        <v>557</v>
      </c>
      <c r="B558" t="inlineStr">
        <is>
          <t>MRTN</t>
        </is>
      </c>
      <c r="C558" t="inlineStr">
        <is>
          <t>2026-07-30</t>
        </is>
      </c>
      <c r="D558" t="n">
        <v>14.78</v>
      </c>
      <c r="E558" t="n">
        <v>24.18</v>
      </c>
      <c r="F558" t="n">
        <v>0.76</v>
      </c>
      <c r="G558" t="n">
        <v>-1.66</v>
      </c>
      <c r="H558" t="n">
        <v>-18.87</v>
      </c>
      <c r="I558" t="n">
        <v>25</v>
      </c>
      <c r="J558" t="n">
        <v>25</v>
      </c>
      <c r="K558" t="n">
        <v>25</v>
      </c>
      <c r="L558" t="b">
        <v>0</v>
      </c>
      <c r="M558" t="b">
        <v>0</v>
      </c>
      <c r="N558" t="inlineStr">
        <is>
          <t>AVOID</t>
        </is>
      </c>
    </row>
    <row r="559">
      <c r="A559" t="n">
        <v>558</v>
      </c>
      <c r="B559" t="inlineStr">
        <is>
          <t>PRDO</t>
        </is>
      </c>
      <c r="C559" t="inlineStr">
        <is>
          <t>2026-07-30</t>
        </is>
      </c>
      <c r="D559" t="n">
        <v>33.05</v>
      </c>
      <c r="E559" t="n">
        <v>41.75</v>
      </c>
      <c r="F559" t="n">
        <v>0.45</v>
      </c>
      <c r="G559" t="n">
        <v>-2.17</v>
      </c>
      <c r="H559" t="n">
        <v>-12.51</v>
      </c>
      <c r="I559" t="n">
        <v>25</v>
      </c>
      <c r="J559" t="n">
        <v>40</v>
      </c>
      <c r="K559" t="n">
        <v>25</v>
      </c>
      <c r="L559" t="b">
        <v>0</v>
      </c>
      <c r="M559" t="b">
        <v>0</v>
      </c>
      <c r="N559" t="inlineStr">
        <is>
          <t>AVOID</t>
        </is>
      </c>
    </row>
    <row r="560">
      <c r="A560" t="n">
        <v>559</v>
      </c>
      <c r="B560" t="inlineStr">
        <is>
          <t>NVDA</t>
        </is>
      </c>
      <c r="C560" t="inlineStr">
        <is>
          <t>2026-07-30</t>
        </is>
      </c>
      <c r="D560" t="n">
        <v>194.71</v>
      </c>
      <c r="E560" t="n">
        <v>37.12</v>
      </c>
      <c r="F560" t="n">
        <v>0.7</v>
      </c>
      <c r="G560" t="n">
        <v>-2.32</v>
      </c>
      <c r="H560" t="n">
        <v>-17.31</v>
      </c>
      <c r="I560" t="n">
        <v>25</v>
      </c>
      <c r="J560" t="n">
        <v>25</v>
      </c>
      <c r="K560" t="n">
        <v>25</v>
      </c>
      <c r="L560" t="b">
        <v>0</v>
      </c>
      <c r="M560" t="b">
        <v>0</v>
      </c>
      <c r="N560" t="inlineStr">
        <is>
          <t>AVOID</t>
        </is>
      </c>
    </row>
    <row r="561">
      <c r="A561" t="n">
        <v>560</v>
      </c>
      <c r="B561" t="inlineStr">
        <is>
          <t>INTC</t>
        </is>
      </c>
      <c r="C561" t="inlineStr">
        <is>
          <t>2026-07-30</t>
        </is>
      </c>
      <c r="D561" t="n">
        <v>92.09999999999999</v>
      </c>
      <c r="E561" t="n">
        <v>37.01</v>
      </c>
      <c r="F561" t="n">
        <v>0.9</v>
      </c>
      <c r="G561" t="n">
        <v>-2.52</v>
      </c>
      <c r="H561" t="n">
        <v>-34.65</v>
      </c>
      <c r="I561" t="n">
        <v>25</v>
      </c>
      <c r="J561" t="n">
        <v>25</v>
      </c>
      <c r="K561" t="n">
        <v>25</v>
      </c>
      <c r="L561" t="b">
        <v>0</v>
      </c>
      <c r="M561" t="b">
        <v>0</v>
      </c>
      <c r="N561" t="inlineStr">
        <is>
          <t>AVOID</t>
        </is>
      </c>
    </row>
    <row r="562">
      <c r="A562" t="n">
        <v>561</v>
      </c>
      <c r="B562" t="inlineStr">
        <is>
          <t>VECO</t>
        </is>
      </c>
      <c r="C562" t="inlineStr">
        <is>
          <t>2026-07-30</t>
        </is>
      </c>
      <c r="D562" t="n">
        <v>48.39</v>
      </c>
      <c r="E562" t="n">
        <v>36.47</v>
      </c>
      <c r="F562" t="n">
        <v>0.44</v>
      </c>
      <c r="G562" t="n">
        <v>-2.93</v>
      </c>
      <c r="H562" t="n">
        <v>-41.73</v>
      </c>
      <c r="I562" t="n">
        <v>25</v>
      </c>
      <c r="J562" t="n">
        <v>25</v>
      </c>
      <c r="K562" t="n">
        <v>25</v>
      </c>
      <c r="L562" t="b">
        <v>0</v>
      </c>
      <c r="M562" t="b">
        <v>0</v>
      </c>
      <c r="N562" t="inlineStr">
        <is>
          <t>AVOID</t>
        </is>
      </c>
    </row>
    <row r="563">
      <c r="A563" t="n">
        <v>562</v>
      </c>
      <c r="B563" t="inlineStr">
        <is>
          <t>HPK</t>
        </is>
      </c>
      <c r="C563" t="inlineStr">
        <is>
          <t>2026-07-30</t>
        </is>
      </c>
      <c r="D563" t="n">
        <v>6.57</v>
      </c>
      <c r="E563" t="n">
        <v>43.43</v>
      </c>
      <c r="F563" t="n">
        <v>0.43</v>
      </c>
      <c r="G563" t="n">
        <v>-3.1</v>
      </c>
      <c r="H563" t="n">
        <v>-34.28</v>
      </c>
      <c r="I563" t="n">
        <v>25</v>
      </c>
      <c r="J563" t="n">
        <v>25</v>
      </c>
      <c r="K563" t="n">
        <v>25</v>
      </c>
      <c r="L563" t="b">
        <v>0</v>
      </c>
      <c r="M563" t="b">
        <v>0</v>
      </c>
      <c r="N563" t="inlineStr">
        <is>
          <t>AVOID</t>
        </is>
      </c>
    </row>
    <row r="564">
      <c r="A564" t="n">
        <v>563</v>
      </c>
      <c r="B564" t="inlineStr">
        <is>
          <t>WOOF</t>
        </is>
      </c>
      <c r="C564" t="inlineStr">
        <is>
          <t>2026-07-30</t>
        </is>
      </c>
      <c r="D564" t="n">
        <v>2.75</v>
      </c>
      <c r="E564" t="n">
        <v>61.18</v>
      </c>
      <c r="F564" t="n">
        <v>0.67</v>
      </c>
      <c r="G564" t="n">
        <v>-3.17</v>
      </c>
      <c r="H564" t="n">
        <v>-31.08</v>
      </c>
      <c r="I564" t="n">
        <v>25</v>
      </c>
      <c r="J564" t="n">
        <v>45</v>
      </c>
      <c r="K564" t="n">
        <v>25</v>
      </c>
      <c r="L564" t="b">
        <v>0</v>
      </c>
      <c r="M564" t="b">
        <v>0</v>
      </c>
      <c r="N564" t="inlineStr">
        <is>
          <t>AVOID</t>
        </is>
      </c>
    </row>
    <row r="565">
      <c r="A565" t="n">
        <v>564</v>
      </c>
      <c r="B565" t="inlineStr">
        <is>
          <t>GOGO</t>
        </is>
      </c>
      <c r="C565" t="inlineStr">
        <is>
          <t>2026-07-30</t>
        </is>
      </c>
      <c r="D565" t="n">
        <v>4.03</v>
      </c>
      <c r="E565" t="n">
        <v>66.01000000000001</v>
      </c>
      <c r="F565" t="n">
        <v>0.43</v>
      </c>
      <c r="G565" t="n">
        <v>-3.47</v>
      </c>
      <c r="H565" t="n">
        <v>-75.44</v>
      </c>
      <c r="I565" t="n">
        <v>25</v>
      </c>
      <c r="J565" t="n">
        <v>20</v>
      </c>
      <c r="K565" t="n">
        <v>25</v>
      </c>
      <c r="L565" t="b">
        <v>0</v>
      </c>
      <c r="M565" t="b">
        <v>0</v>
      </c>
      <c r="N565" t="inlineStr">
        <is>
          <t>AVOID</t>
        </is>
      </c>
    </row>
    <row r="566">
      <c r="A566" t="n">
        <v>565</v>
      </c>
      <c r="B566" t="inlineStr">
        <is>
          <t>TSEM</t>
        </is>
      </c>
      <c r="C566" t="inlineStr">
        <is>
          <t>2026-07-30</t>
        </is>
      </c>
      <c r="D566" t="n">
        <v>212.25</v>
      </c>
      <c r="E566" t="n">
        <v>47.29</v>
      </c>
      <c r="F566" t="n">
        <v>0.64</v>
      </c>
      <c r="G566" t="n">
        <v>-3.98</v>
      </c>
      <c r="H566" t="n">
        <v>-33.01</v>
      </c>
      <c r="I566" t="n">
        <v>25</v>
      </c>
      <c r="J566" t="n">
        <v>50</v>
      </c>
      <c r="K566" t="n">
        <v>25</v>
      </c>
      <c r="L566" t="b">
        <v>0</v>
      </c>
      <c r="M566" t="b">
        <v>0</v>
      </c>
      <c r="N566" t="inlineStr">
        <is>
          <t>AVOID</t>
        </is>
      </c>
    </row>
    <row r="567">
      <c r="A567" t="n">
        <v>566</v>
      </c>
      <c r="B567" t="inlineStr">
        <is>
          <t>ULTA</t>
        </is>
      </c>
      <c r="C567" t="inlineStr">
        <is>
          <t>2026-07-30</t>
        </is>
      </c>
      <c r="D567" t="n">
        <v>515.46</v>
      </c>
      <c r="E567" t="n">
        <v>76.03</v>
      </c>
      <c r="F567" t="n">
        <v>0.5600000000000001</v>
      </c>
      <c r="G567" t="n">
        <v>-4.1</v>
      </c>
      <c r="H567" t="n">
        <v>-27.07</v>
      </c>
      <c r="I567" t="n">
        <v>25</v>
      </c>
      <c r="J567" t="n">
        <v>20</v>
      </c>
      <c r="K567" t="n">
        <v>25</v>
      </c>
      <c r="L567" t="b">
        <v>0</v>
      </c>
      <c r="M567" t="b">
        <v>0</v>
      </c>
      <c r="N567" t="inlineStr">
        <is>
          <t>AVOID</t>
        </is>
      </c>
    </row>
    <row r="568">
      <c r="A568" t="n">
        <v>567</v>
      </c>
      <c r="B568" t="inlineStr">
        <is>
          <t>COHU</t>
        </is>
      </c>
      <c r="C568" t="inlineStr">
        <is>
          <t>2026-07-30</t>
        </is>
      </c>
      <c r="D568" t="n">
        <v>45.34</v>
      </c>
      <c r="E568" t="n">
        <v>36.05</v>
      </c>
      <c r="F568" t="n">
        <v>1.04</v>
      </c>
      <c r="G568" t="n">
        <v>-4.24</v>
      </c>
      <c r="H568" t="n">
        <v>-38.66</v>
      </c>
      <c r="I568" t="n">
        <v>25</v>
      </c>
      <c r="J568" t="n">
        <v>40</v>
      </c>
      <c r="K568" t="n">
        <v>25</v>
      </c>
      <c r="L568" t="b">
        <v>0</v>
      </c>
      <c r="M568" t="b">
        <v>0</v>
      </c>
      <c r="N568" t="inlineStr">
        <is>
          <t>AVOID</t>
        </is>
      </c>
    </row>
    <row r="569">
      <c r="A569" t="n">
        <v>568</v>
      </c>
      <c r="B569" t="inlineStr">
        <is>
          <t>HTLD</t>
        </is>
      </c>
      <c r="C569" t="inlineStr">
        <is>
          <t>2026-07-30</t>
        </is>
      </c>
      <c r="D569" t="n">
        <v>12.64</v>
      </c>
      <c r="E569" t="n">
        <v>27.69</v>
      </c>
      <c r="F569" t="n">
        <v>0.75</v>
      </c>
      <c r="G569" t="n">
        <v>-5.4</v>
      </c>
      <c r="H569" t="n">
        <v>-21.97</v>
      </c>
      <c r="I569" t="n">
        <v>25</v>
      </c>
      <c r="J569" t="n">
        <v>25</v>
      </c>
      <c r="K569" t="n">
        <v>25</v>
      </c>
      <c r="L569" t="b">
        <v>0</v>
      </c>
      <c r="M569" t="b">
        <v>0</v>
      </c>
      <c r="N569" t="inlineStr">
        <is>
          <t>AVOID</t>
        </is>
      </c>
    </row>
    <row r="570">
      <c r="A570" t="n">
        <v>569</v>
      </c>
      <c r="B570" t="inlineStr">
        <is>
          <t>WYNN</t>
        </is>
      </c>
      <c r="C570" t="inlineStr">
        <is>
          <t>2026-07-30</t>
        </is>
      </c>
      <c r="D570" t="n">
        <v>100.81</v>
      </c>
      <c r="E570" t="n">
        <v>52.95</v>
      </c>
      <c r="F570" t="n">
        <v>0.6</v>
      </c>
      <c r="G570" t="n">
        <v>-5.63</v>
      </c>
      <c r="H570" t="n">
        <v>-23.89</v>
      </c>
      <c r="I570" t="n">
        <v>25</v>
      </c>
      <c r="J570" t="n">
        <v>45</v>
      </c>
      <c r="K570" t="n">
        <v>25</v>
      </c>
      <c r="L570" t="b">
        <v>0</v>
      </c>
      <c r="M570" t="b">
        <v>0</v>
      </c>
      <c r="N570" t="inlineStr">
        <is>
          <t>AVOID</t>
        </is>
      </c>
    </row>
    <row r="571">
      <c r="A571" t="n">
        <v>570</v>
      </c>
      <c r="B571" t="inlineStr">
        <is>
          <t>SITM</t>
        </is>
      </c>
      <c r="C571" t="inlineStr">
        <is>
          <t>2026-07-30</t>
        </is>
      </c>
      <c r="D571" t="n">
        <v>530.42</v>
      </c>
      <c r="E571" t="n">
        <v>35.89</v>
      </c>
      <c r="F571" t="n">
        <v>1</v>
      </c>
      <c r="G571" t="n">
        <v>-5.64</v>
      </c>
      <c r="H571" t="n">
        <v>-41.16</v>
      </c>
      <c r="I571" t="n">
        <v>25</v>
      </c>
      <c r="J571" t="n">
        <v>25</v>
      </c>
      <c r="K571" t="n">
        <v>25</v>
      </c>
      <c r="L571" t="b">
        <v>0</v>
      </c>
      <c r="M571" t="b">
        <v>0</v>
      </c>
      <c r="N571" t="inlineStr">
        <is>
          <t>AVOID</t>
        </is>
      </c>
    </row>
    <row r="572">
      <c r="A572" t="n">
        <v>571</v>
      </c>
      <c r="B572" t="inlineStr">
        <is>
          <t>COST</t>
        </is>
      </c>
      <c r="C572" t="inlineStr">
        <is>
          <t>2026-07-30</t>
        </is>
      </c>
      <c r="D572" t="n">
        <v>953.63</v>
      </c>
      <c r="E572" t="n">
        <v>64.04000000000001</v>
      </c>
      <c r="F572" t="n">
        <v>0.57</v>
      </c>
      <c r="G572" t="n">
        <v>-5.72</v>
      </c>
      <c r="H572" t="n">
        <v>-12.72</v>
      </c>
      <c r="I572" t="n">
        <v>25</v>
      </c>
      <c r="J572" t="n">
        <v>40</v>
      </c>
      <c r="K572" t="n">
        <v>25</v>
      </c>
      <c r="L572" t="b">
        <v>0</v>
      </c>
      <c r="M572" t="b">
        <v>0</v>
      </c>
      <c r="N572" t="inlineStr">
        <is>
          <t>AVOID</t>
        </is>
      </c>
    </row>
    <row r="573">
      <c r="A573" t="n">
        <v>572</v>
      </c>
      <c r="B573" t="inlineStr">
        <is>
          <t>CME</t>
        </is>
      </c>
      <c r="C573" t="inlineStr">
        <is>
          <t>2026-07-30</t>
        </is>
      </c>
      <c r="D573" t="n">
        <v>266.3</v>
      </c>
      <c r="E573" t="n">
        <v>77.73999999999999</v>
      </c>
      <c r="F573" t="n">
        <v>0.54</v>
      </c>
      <c r="G573" t="n">
        <v>-7</v>
      </c>
      <c r="H573" t="n">
        <v>-16.04</v>
      </c>
      <c r="I573" t="n">
        <v>25</v>
      </c>
      <c r="J573" t="n">
        <v>20</v>
      </c>
      <c r="K573" t="n">
        <v>25</v>
      </c>
      <c r="L573" t="b">
        <v>0</v>
      </c>
      <c r="M573" t="b">
        <v>0</v>
      </c>
      <c r="N573" t="inlineStr">
        <is>
          <t>AVOID</t>
        </is>
      </c>
    </row>
    <row r="574">
      <c r="A574" t="n">
        <v>573</v>
      </c>
      <c r="B574" t="inlineStr">
        <is>
          <t>LASR</t>
        </is>
      </c>
      <c r="C574" t="inlineStr">
        <is>
          <t>2026-07-30</t>
        </is>
      </c>
      <c r="D574" t="n">
        <v>64.88</v>
      </c>
      <c r="E574" t="n">
        <v>42.25</v>
      </c>
      <c r="F574" t="n">
        <v>0.39</v>
      </c>
      <c r="G574" t="n">
        <v>-7.12</v>
      </c>
      <c r="H574" t="n">
        <v>-23.63</v>
      </c>
      <c r="I574" t="n">
        <v>25</v>
      </c>
      <c r="J574" t="n">
        <v>25</v>
      </c>
      <c r="K574" t="n">
        <v>25</v>
      </c>
      <c r="L574" t="b">
        <v>0</v>
      </c>
      <c r="M574" t="b">
        <v>0</v>
      </c>
      <c r="N574" t="inlineStr">
        <is>
          <t>AVOID</t>
        </is>
      </c>
    </row>
    <row r="575">
      <c r="A575" t="n">
        <v>574</v>
      </c>
      <c r="B575" t="inlineStr">
        <is>
          <t>FCFS</t>
        </is>
      </c>
      <c r="C575" t="inlineStr">
        <is>
          <t>2026-07-30</t>
        </is>
      </c>
      <c r="D575" t="n">
        <v>201.29</v>
      </c>
      <c r="E575" t="n">
        <v>35.01</v>
      </c>
      <c r="F575" t="n">
        <v>0.48</v>
      </c>
      <c r="G575" t="n">
        <v>-7.59</v>
      </c>
      <c r="H575" t="n">
        <v>-13.45</v>
      </c>
      <c r="I575" t="n">
        <v>25</v>
      </c>
      <c r="J575" t="n">
        <v>25</v>
      </c>
      <c r="K575" t="n">
        <v>25</v>
      </c>
      <c r="L575" t="b">
        <v>0</v>
      </c>
      <c r="M575" t="b">
        <v>0</v>
      </c>
      <c r="N575" t="inlineStr">
        <is>
          <t>AVOID</t>
        </is>
      </c>
    </row>
    <row r="576">
      <c r="A576" t="n">
        <v>575</v>
      </c>
      <c r="B576" t="inlineStr">
        <is>
          <t>UTHR</t>
        </is>
      </c>
      <c r="C576" t="inlineStr">
        <is>
          <t>2026-07-30</t>
        </is>
      </c>
      <c r="D576" t="n">
        <v>525.48</v>
      </c>
      <c r="E576" t="n">
        <v>33.82</v>
      </c>
      <c r="F576" t="n">
        <v>0.53</v>
      </c>
      <c r="G576" t="n">
        <v>-8.029999999999999</v>
      </c>
      <c r="H576" t="n">
        <v>-11.94</v>
      </c>
      <c r="I576" t="n">
        <v>25</v>
      </c>
      <c r="J576" t="n">
        <v>40</v>
      </c>
      <c r="K576" t="n">
        <v>25</v>
      </c>
      <c r="L576" t="b">
        <v>0</v>
      </c>
      <c r="M576" t="b">
        <v>0</v>
      </c>
      <c r="N576" t="inlineStr">
        <is>
          <t>AVOID</t>
        </is>
      </c>
    </row>
    <row r="577">
      <c r="A577" t="n">
        <v>576</v>
      </c>
      <c r="B577" t="inlineStr">
        <is>
          <t>TSHA</t>
        </is>
      </c>
      <c r="C577" t="inlineStr">
        <is>
          <t>2026-07-30</t>
        </is>
      </c>
      <c r="D577" t="n">
        <v>5.88</v>
      </c>
      <c r="E577" t="n">
        <v>43.31</v>
      </c>
      <c r="F577" t="n">
        <v>0.44</v>
      </c>
      <c r="G577" t="n">
        <v>-8.06</v>
      </c>
      <c r="H577" t="n">
        <v>-15.83</v>
      </c>
      <c r="I577" t="n">
        <v>25</v>
      </c>
      <c r="J577" t="n">
        <v>40</v>
      </c>
      <c r="K577" t="n">
        <v>25</v>
      </c>
      <c r="L577" t="b">
        <v>0</v>
      </c>
      <c r="M577" t="b">
        <v>0</v>
      </c>
      <c r="N577" t="inlineStr">
        <is>
          <t>AVOID</t>
        </is>
      </c>
    </row>
    <row r="578">
      <c r="A578" t="n">
        <v>577</v>
      </c>
      <c r="B578" t="inlineStr">
        <is>
          <t>ADI</t>
        </is>
      </c>
      <c r="C578" t="inlineStr">
        <is>
          <t>2026-07-30</t>
        </is>
      </c>
      <c r="D578" t="n">
        <v>365.47</v>
      </c>
      <c r="E578" t="n">
        <v>34.36</v>
      </c>
      <c r="F578" t="n">
        <v>0.71</v>
      </c>
      <c r="G578" t="n">
        <v>-8.9</v>
      </c>
      <c r="H578" t="n">
        <v>-17.96</v>
      </c>
      <c r="I578" t="n">
        <v>25</v>
      </c>
      <c r="J578" t="n">
        <v>25</v>
      </c>
      <c r="K578" t="n">
        <v>25</v>
      </c>
      <c r="L578" t="b">
        <v>0</v>
      </c>
      <c r="M578" t="b">
        <v>0</v>
      </c>
      <c r="N578" t="inlineStr">
        <is>
          <t>AVOID</t>
        </is>
      </c>
    </row>
    <row r="579">
      <c r="A579" t="n">
        <v>578</v>
      </c>
      <c r="B579" t="inlineStr">
        <is>
          <t>ACLS</t>
        </is>
      </c>
      <c r="C579" t="inlineStr">
        <is>
          <t>2026-07-30</t>
        </is>
      </c>
      <c r="D579" t="n">
        <v>125.67</v>
      </c>
      <c r="E579" t="n">
        <v>39.58</v>
      </c>
      <c r="F579" t="n">
        <v>0.38</v>
      </c>
      <c r="G579" t="n">
        <v>-9.67</v>
      </c>
      <c r="H579" t="n">
        <v>-34.41</v>
      </c>
      <c r="I579" t="n">
        <v>25</v>
      </c>
      <c r="J579" t="n">
        <v>25</v>
      </c>
      <c r="K579" t="n">
        <v>25</v>
      </c>
      <c r="L579" t="b">
        <v>0</v>
      </c>
      <c r="M579" t="b">
        <v>0</v>
      </c>
      <c r="N579" t="inlineStr">
        <is>
          <t>AVOID</t>
        </is>
      </c>
    </row>
    <row r="580">
      <c r="A580" t="n">
        <v>579</v>
      </c>
      <c r="B580" t="inlineStr">
        <is>
          <t>CMCSA</t>
        </is>
      </c>
      <c r="C580" t="inlineStr">
        <is>
          <t>2026-07-30</t>
        </is>
      </c>
      <c r="D580" t="n">
        <v>23.75</v>
      </c>
      <c r="E580" t="n">
        <v>51.11</v>
      </c>
      <c r="F580" t="n">
        <v>0.47</v>
      </c>
      <c r="G580" t="n">
        <v>-10.99</v>
      </c>
      <c r="H580" t="n">
        <v>-25.04</v>
      </c>
      <c r="I580" t="n">
        <v>25</v>
      </c>
      <c r="J580" t="n">
        <v>60</v>
      </c>
      <c r="K580" t="n">
        <v>25</v>
      </c>
      <c r="L580" t="b">
        <v>0</v>
      </c>
      <c r="M580" t="b">
        <v>0</v>
      </c>
      <c r="N580" t="inlineStr">
        <is>
          <t>AVOID</t>
        </is>
      </c>
    </row>
    <row r="581">
      <c r="A581" t="n">
        <v>580</v>
      </c>
      <c r="B581" t="inlineStr">
        <is>
          <t>NNDM</t>
        </is>
      </c>
      <c r="C581" t="inlineStr">
        <is>
          <t>2026-07-30</t>
        </is>
      </c>
      <c r="D581" t="n">
        <v>1.53</v>
      </c>
      <c r="E581" t="n">
        <v>56.36</v>
      </c>
      <c r="F581" t="n">
        <v>0.72</v>
      </c>
      <c r="G581" t="n">
        <v>-11.27</v>
      </c>
      <c r="H581" t="n">
        <v>-28.27</v>
      </c>
      <c r="I581" t="n">
        <v>25</v>
      </c>
      <c r="J581" t="n">
        <v>45</v>
      </c>
      <c r="K581" t="n">
        <v>25</v>
      </c>
      <c r="L581" t="b">
        <v>0</v>
      </c>
      <c r="M581" t="b">
        <v>0</v>
      </c>
      <c r="N581" t="inlineStr">
        <is>
          <t>AVOID</t>
        </is>
      </c>
    </row>
    <row r="582">
      <c r="A582" t="n">
        <v>581</v>
      </c>
      <c r="B582" t="inlineStr">
        <is>
          <t>SWKS</t>
        </is>
      </c>
      <c r="C582" t="inlineStr">
        <is>
          <t>2026-07-30</t>
        </is>
      </c>
      <c r="D582" t="n">
        <v>61.61</v>
      </c>
      <c r="E582" t="n">
        <v>52.83</v>
      </c>
      <c r="F582" t="n">
        <v>0.92</v>
      </c>
      <c r="G582" t="n">
        <v>-11.44</v>
      </c>
      <c r="H582" t="n">
        <v>-26.14</v>
      </c>
      <c r="I582" t="n">
        <v>25</v>
      </c>
      <c r="J582" t="n">
        <v>40</v>
      </c>
      <c r="K582" t="n">
        <v>25</v>
      </c>
      <c r="L582" t="b">
        <v>0</v>
      </c>
      <c r="M582" t="b">
        <v>0</v>
      </c>
      <c r="N582" t="inlineStr">
        <is>
          <t>AVOID</t>
        </is>
      </c>
    </row>
    <row r="583">
      <c r="A583" t="n">
        <v>582</v>
      </c>
      <c r="B583" t="inlineStr">
        <is>
          <t>MTSI</t>
        </is>
      </c>
      <c r="C583" t="inlineStr">
        <is>
          <t>2026-07-30</t>
        </is>
      </c>
      <c r="D583" t="n">
        <v>248.33</v>
      </c>
      <c r="E583" t="n">
        <v>29.42</v>
      </c>
      <c r="F583" t="n">
        <v>0.63</v>
      </c>
      <c r="G583" t="n">
        <v>-11.82</v>
      </c>
      <c r="H583" t="n">
        <v>-39.38</v>
      </c>
      <c r="I583" t="n">
        <v>25</v>
      </c>
      <c r="J583" t="n">
        <v>25</v>
      </c>
      <c r="K583" t="n">
        <v>25</v>
      </c>
      <c r="L583" t="b">
        <v>0</v>
      </c>
      <c r="M583" t="b">
        <v>0</v>
      </c>
      <c r="N583" t="inlineStr">
        <is>
          <t>AVOID</t>
        </is>
      </c>
    </row>
    <row r="584">
      <c r="A584" t="n">
        <v>583</v>
      </c>
      <c r="B584" t="inlineStr">
        <is>
          <t>TTEC</t>
        </is>
      </c>
      <c r="C584" t="inlineStr">
        <is>
          <t>2026-07-30</t>
        </is>
      </c>
      <c r="D584" t="n">
        <v>2.57</v>
      </c>
      <c r="E584" t="n">
        <v>66.79000000000001</v>
      </c>
      <c r="F584" t="n">
        <v>0.59</v>
      </c>
      <c r="G584" t="n">
        <v>-11.86</v>
      </c>
      <c r="H584" t="n">
        <v>-48.49</v>
      </c>
      <c r="I584" t="n">
        <v>25</v>
      </c>
      <c r="J584" t="n">
        <v>20</v>
      </c>
      <c r="K584" t="n">
        <v>25</v>
      </c>
      <c r="L584" t="b">
        <v>0</v>
      </c>
      <c r="M584" t="b">
        <v>0</v>
      </c>
      <c r="N584" t="inlineStr">
        <is>
          <t>AVOID</t>
        </is>
      </c>
    </row>
    <row r="585">
      <c r="A585" t="n">
        <v>584</v>
      </c>
      <c r="B585" t="inlineStr">
        <is>
          <t>GLNG</t>
        </is>
      </c>
      <c r="C585" t="inlineStr">
        <is>
          <t>2026-07-30</t>
        </is>
      </c>
      <c r="D585" t="n">
        <v>47.94</v>
      </c>
      <c r="E585" t="n">
        <v>27.46</v>
      </c>
      <c r="F585" t="n">
        <v>0.76</v>
      </c>
      <c r="G585" t="n">
        <v>-12.38</v>
      </c>
      <c r="H585" t="n">
        <v>-16</v>
      </c>
      <c r="I585" t="n">
        <v>25</v>
      </c>
      <c r="J585" t="n">
        <v>25</v>
      </c>
      <c r="K585" t="n">
        <v>25</v>
      </c>
      <c r="L585" t="b">
        <v>0</v>
      </c>
      <c r="M585" t="b">
        <v>0</v>
      </c>
      <c r="N585" t="inlineStr">
        <is>
          <t>AVOID</t>
        </is>
      </c>
    </row>
    <row r="586">
      <c r="A586" t="n">
        <v>585</v>
      </c>
      <c r="B586" t="inlineStr">
        <is>
          <t>GOOG</t>
        </is>
      </c>
      <c r="C586" t="inlineStr">
        <is>
          <t>2026-07-30</t>
        </is>
      </c>
      <c r="D586" t="n">
        <v>334.21</v>
      </c>
      <c r="E586" t="n">
        <v>40.11</v>
      </c>
      <c r="F586" t="n">
        <v>0.6</v>
      </c>
      <c r="G586" t="n">
        <v>-12.44</v>
      </c>
      <c r="H586" t="n">
        <v>-16.19</v>
      </c>
      <c r="I586" t="n">
        <v>25</v>
      </c>
      <c r="J586" t="n">
        <v>25</v>
      </c>
      <c r="K586" t="n">
        <v>25</v>
      </c>
      <c r="L586" t="b">
        <v>0</v>
      </c>
      <c r="M586" t="b">
        <v>0</v>
      </c>
      <c r="N586" t="inlineStr">
        <is>
          <t>AVOID</t>
        </is>
      </c>
    </row>
    <row r="587">
      <c r="A587" t="n">
        <v>586</v>
      </c>
      <c r="B587" t="inlineStr">
        <is>
          <t>GOOGL</t>
        </is>
      </c>
      <c r="C587" t="inlineStr">
        <is>
          <t>2026-07-30</t>
        </is>
      </c>
      <c r="D587" t="n">
        <v>334.26</v>
      </c>
      <c r="E587" t="n">
        <v>39.41</v>
      </c>
      <c r="F587" t="n">
        <v>0.71</v>
      </c>
      <c r="G587" t="n">
        <v>-13.08</v>
      </c>
      <c r="H587" t="n">
        <v>-16.93</v>
      </c>
      <c r="I587" t="n">
        <v>25</v>
      </c>
      <c r="J587" t="n">
        <v>25</v>
      </c>
      <c r="K587" t="n">
        <v>25</v>
      </c>
      <c r="L587" t="b">
        <v>0</v>
      </c>
      <c r="M587" t="b">
        <v>0</v>
      </c>
      <c r="N587" t="inlineStr">
        <is>
          <t>AVOID</t>
        </is>
      </c>
    </row>
    <row r="588">
      <c r="A588" t="n">
        <v>587</v>
      </c>
      <c r="B588" t="inlineStr">
        <is>
          <t>DOX</t>
        </is>
      </c>
      <c r="C588" t="inlineStr">
        <is>
          <t>2026-07-30</t>
        </is>
      </c>
      <c r="D588" t="n">
        <v>55.28</v>
      </c>
      <c r="E588" t="n">
        <v>61.94</v>
      </c>
      <c r="F588" t="n">
        <v>0.46</v>
      </c>
      <c r="G588" t="n">
        <v>-13.57</v>
      </c>
      <c r="H588" t="n">
        <v>-36.11</v>
      </c>
      <c r="I588" t="n">
        <v>25</v>
      </c>
      <c r="J588" t="n">
        <v>45</v>
      </c>
      <c r="K588" t="n">
        <v>25</v>
      </c>
      <c r="L588" t="b">
        <v>0</v>
      </c>
      <c r="M588" t="b">
        <v>0</v>
      </c>
      <c r="N588" t="inlineStr">
        <is>
          <t>AVOID</t>
        </is>
      </c>
    </row>
    <row r="589">
      <c r="A589" t="n">
        <v>588</v>
      </c>
      <c r="B589" t="inlineStr">
        <is>
          <t>LBRDK</t>
        </is>
      </c>
      <c r="C589" t="inlineStr">
        <is>
          <t>2026-07-30</t>
        </is>
      </c>
      <c r="D589" t="n">
        <v>33.01</v>
      </c>
      <c r="E589" t="n">
        <v>59.87</v>
      </c>
      <c r="F589" t="n">
        <v>0.35</v>
      </c>
      <c r="G589" t="n">
        <v>-14.22</v>
      </c>
      <c r="H589" t="n">
        <v>-49.38</v>
      </c>
      <c r="I589" t="n">
        <v>25</v>
      </c>
      <c r="J589" t="n">
        <v>45</v>
      </c>
      <c r="K589" t="n">
        <v>25</v>
      </c>
      <c r="L589" t="b">
        <v>0</v>
      </c>
      <c r="M589" t="b">
        <v>0</v>
      </c>
      <c r="N589" t="inlineStr">
        <is>
          <t>AVOID</t>
        </is>
      </c>
    </row>
    <row r="590">
      <c r="A590" t="n">
        <v>589</v>
      </c>
      <c r="B590" t="inlineStr">
        <is>
          <t>FISV</t>
        </is>
      </c>
      <c r="C590" t="inlineStr">
        <is>
          <t>2026-07-30</t>
        </is>
      </c>
      <c r="D590" t="n">
        <v>53.71</v>
      </c>
      <c r="E590" t="n">
        <v>60.2</v>
      </c>
      <c r="F590" t="n">
        <v>0.77</v>
      </c>
      <c r="G590" t="n">
        <v>-14.27</v>
      </c>
      <c r="H590" t="n">
        <v>-62.31</v>
      </c>
      <c r="I590" t="n">
        <v>25</v>
      </c>
      <c r="J590" t="n">
        <v>45</v>
      </c>
      <c r="K590" t="n">
        <v>25</v>
      </c>
      <c r="L590" t="b">
        <v>0</v>
      </c>
      <c r="M590" t="b">
        <v>0</v>
      </c>
      <c r="N590" t="inlineStr">
        <is>
          <t>AVOID</t>
        </is>
      </c>
    </row>
    <row r="591">
      <c r="A591" t="n">
        <v>590</v>
      </c>
      <c r="B591" t="inlineStr">
        <is>
          <t>TCOM</t>
        </is>
      </c>
      <c r="C591" t="inlineStr">
        <is>
          <t>2026-07-30</t>
        </is>
      </c>
      <c r="D591" t="n">
        <v>46.22</v>
      </c>
      <c r="E591" t="n">
        <v>66.90000000000001</v>
      </c>
      <c r="F591" t="n">
        <v>0.77</v>
      </c>
      <c r="G591" t="n">
        <v>-14.74</v>
      </c>
      <c r="H591" t="n">
        <v>-41.46</v>
      </c>
      <c r="I591" t="n">
        <v>25</v>
      </c>
      <c r="J591" t="n">
        <v>20</v>
      </c>
      <c r="K591" t="n">
        <v>25</v>
      </c>
      <c r="L591" t="b">
        <v>0</v>
      </c>
      <c r="M591" t="b">
        <v>0</v>
      </c>
      <c r="N591" t="inlineStr">
        <is>
          <t>AVOID</t>
        </is>
      </c>
    </row>
    <row r="592">
      <c r="A592" t="n">
        <v>591</v>
      </c>
      <c r="B592" t="inlineStr">
        <is>
          <t>CHTR</t>
        </is>
      </c>
      <c r="C592" t="inlineStr">
        <is>
          <t>2026-07-30</t>
        </is>
      </c>
      <c r="D592" t="n">
        <v>140.77</v>
      </c>
      <c r="E592" t="n">
        <v>60.3</v>
      </c>
      <c r="F592" t="n">
        <v>0.73</v>
      </c>
      <c r="G592" t="n">
        <v>-14.77</v>
      </c>
      <c r="H592" t="n">
        <v>-50.21</v>
      </c>
      <c r="I592" t="n">
        <v>25</v>
      </c>
      <c r="J592" t="n">
        <v>45</v>
      </c>
      <c r="K592" t="n">
        <v>25</v>
      </c>
      <c r="L592" t="b">
        <v>0</v>
      </c>
      <c r="M592" t="b">
        <v>0</v>
      </c>
      <c r="N592" t="inlineStr">
        <is>
          <t>AVOID</t>
        </is>
      </c>
    </row>
    <row r="593">
      <c r="A593" t="n">
        <v>592</v>
      </c>
      <c r="B593" t="inlineStr">
        <is>
          <t>NXPI</t>
        </is>
      </c>
      <c r="C593" t="inlineStr">
        <is>
          <t>2026-07-30</t>
        </is>
      </c>
      <c r="D593" t="n">
        <v>247.72</v>
      </c>
      <c r="E593" t="n">
        <v>26.19</v>
      </c>
      <c r="F593" t="n">
        <v>0.99</v>
      </c>
      <c r="G593" t="n">
        <v>-15.34</v>
      </c>
      <c r="H593" t="n">
        <v>-25.28</v>
      </c>
      <c r="I593" t="n">
        <v>25</v>
      </c>
      <c r="J593" t="n">
        <v>25</v>
      </c>
      <c r="K593" t="n">
        <v>25</v>
      </c>
      <c r="L593" t="b">
        <v>0</v>
      </c>
      <c r="M593" t="b">
        <v>0</v>
      </c>
      <c r="N593" t="inlineStr">
        <is>
          <t>AVOID</t>
        </is>
      </c>
    </row>
    <row r="594">
      <c r="A594" t="n">
        <v>593</v>
      </c>
      <c r="B594" t="inlineStr">
        <is>
          <t>SANM</t>
        </is>
      </c>
      <c r="C594" t="inlineStr">
        <is>
          <t>2026-07-30</t>
        </is>
      </c>
      <c r="D594" t="n">
        <v>184.05</v>
      </c>
      <c r="E594" t="n">
        <v>40.06</v>
      </c>
      <c r="F594" t="n">
        <v>1.2</v>
      </c>
      <c r="G594" t="n">
        <v>-15.5</v>
      </c>
      <c r="H594" t="n">
        <v>-34.9</v>
      </c>
      <c r="I594" t="n">
        <v>25</v>
      </c>
      <c r="J594" t="n">
        <v>40</v>
      </c>
      <c r="K594" t="n">
        <v>25</v>
      </c>
      <c r="L594" t="b">
        <v>0</v>
      </c>
      <c r="M594" t="b">
        <v>0</v>
      </c>
      <c r="N594" t="inlineStr">
        <is>
          <t>AVOID</t>
        </is>
      </c>
    </row>
    <row r="595">
      <c r="A595" t="n">
        <v>594</v>
      </c>
      <c r="B595" t="inlineStr">
        <is>
          <t>ON</t>
        </is>
      </c>
      <c r="C595" t="inlineStr">
        <is>
          <t>2026-07-30</t>
        </is>
      </c>
      <c r="D595" t="n">
        <v>84.16</v>
      </c>
      <c r="E595" t="n">
        <v>36.84</v>
      </c>
      <c r="F595" t="n">
        <v>0.51</v>
      </c>
      <c r="G595" t="n">
        <v>-16.52</v>
      </c>
      <c r="H595" t="n">
        <v>-37.16</v>
      </c>
      <c r="I595" t="n">
        <v>25</v>
      </c>
      <c r="J595" t="n">
        <v>25</v>
      </c>
      <c r="K595" t="n">
        <v>25</v>
      </c>
      <c r="L595" t="b">
        <v>0</v>
      </c>
      <c r="M595" t="b">
        <v>0</v>
      </c>
      <c r="N595" t="inlineStr">
        <is>
          <t>AVOID</t>
        </is>
      </c>
    </row>
    <row r="596">
      <c r="A596" t="n">
        <v>595</v>
      </c>
      <c r="B596" t="inlineStr">
        <is>
          <t>POWI</t>
        </is>
      </c>
      <c r="C596" t="inlineStr">
        <is>
          <t>2026-07-30</t>
        </is>
      </c>
      <c r="D596" t="n">
        <v>60.42</v>
      </c>
      <c r="E596" t="n">
        <v>31.56</v>
      </c>
      <c r="F596" t="n">
        <v>0.58</v>
      </c>
      <c r="G596" t="n">
        <v>-16.7</v>
      </c>
      <c r="H596" t="n">
        <v>-30.84</v>
      </c>
      <c r="I596" t="n">
        <v>25</v>
      </c>
      <c r="J596" t="n">
        <v>25</v>
      </c>
      <c r="K596" t="n">
        <v>25</v>
      </c>
      <c r="L596" t="b">
        <v>0</v>
      </c>
      <c r="M596" t="b">
        <v>0</v>
      </c>
      <c r="N596" t="inlineStr">
        <is>
          <t>AVOID</t>
        </is>
      </c>
    </row>
    <row r="597">
      <c r="A597" t="n">
        <v>596</v>
      </c>
      <c r="B597" t="inlineStr">
        <is>
          <t>MPWR</t>
        </is>
      </c>
      <c r="C597" t="inlineStr">
        <is>
          <t>2026-07-30</t>
        </is>
      </c>
      <c r="D597" t="n">
        <v>1323.36</v>
      </c>
      <c r="E597" t="n">
        <v>47.3</v>
      </c>
      <c r="F597" t="n">
        <v>1</v>
      </c>
      <c r="G597" t="n">
        <v>-17.9</v>
      </c>
      <c r="H597" t="n">
        <v>-21.57</v>
      </c>
      <c r="I597" t="n">
        <v>25</v>
      </c>
      <c r="J597" t="n">
        <v>65</v>
      </c>
      <c r="K597" t="n">
        <v>25</v>
      </c>
      <c r="L597" t="b">
        <v>0</v>
      </c>
      <c r="M597" t="b">
        <v>0</v>
      </c>
      <c r="N597" t="inlineStr">
        <is>
          <t>AVOID</t>
        </is>
      </c>
    </row>
    <row r="598">
      <c r="A598" t="n">
        <v>597</v>
      </c>
      <c r="B598" t="inlineStr">
        <is>
          <t>INTU</t>
        </is>
      </c>
      <c r="C598" t="inlineStr">
        <is>
          <t>2026-07-30</t>
        </is>
      </c>
      <c r="D598" t="n">
        <v>315</v>
      </c>
      <c r="E598" t="n">
        <v>65.59</v>
      </c>
      <c r="F598" t="n">
        <v>0.78</v>
      </c>
      <c r="G598" t="n">
        <v>-18.56</v>
      </c>
      <c r="H598" t="n">
        <v>-60.55</v>
      </c>
      <c r="I598" t="n">
        <v>25</v>
      </c>
      <c r="J598" t="n">
        <v>20</v>
      </c>
      <c r="K598" t="n">
        <v>25</v>
      </c>
      <c r="L598" t="b">
        <v>0</v>
      </c>
      <c r="M598" t="b">
        <v>0</v>
      </c>
      <c r="N598" t="inlineStr">
        <is>
          <t>AVOID</t>
        </is>
      </c>
    </row>
    <row r="599">
      <c r="A599" t="n">
        <v>598</v>
      </c>
      <c r="B599" t="inlineStr">
        <is>
          <t>MCHP</t>
        </is>
      </c>
      <c r="C599" t="inlineStr">
        <is>
          <t>2026-07-30</t>
        </is>
      </c>
      <c r="D599" t="n">
        <v>75.27</v>
      </c>
      <c r="E599" t="n">
        <v>31.45</v>
      </c>
      <c r="F599" t="n">
        <v>0.5600000000000001</v>
      </c>
      <c r="G599" t="n">
        <v>-18.58</v>
      </c>
      <c r="H599" t="n">
        <v>-26.72</v>
      </c>
      <c r="I599" t="n">
        <v>25</v>
      </c>
      <c r="J599" t="n">
        <v>25</v>
      </c>
      <c r="K599" t="n">
        <v>25</v>
      </c>
      <c r="L599" t="b">
        <v>0</v>
      </c>
      <c r="M599" t="b">
        <v>0</v>
      </c>
      <c r="N599" t="inlineStr">
        <is>
          <t>AVOID</t>
        </is>
      </c>
    </row>
    <row r="600">
      <c r="A600" t="n">
        <v>599</v>
      </c>
      <c r="B600" t="inlineStr">
        <is>
          <t>TTGT</t>
        </is>
      </c>
      <c r="C600" t="inlineStr">
        <is>
          <t>2026-07-30</t>
        </is>
      </c>
      <c r="D600" t="n">
        <v>4.42</v>
      </c>
      <c r="E600" t="n">
        <v>64.52</v>
      </c>
      <c r="F600" t="n">
        <v>0.82</v>
      </c>
      <c r="G600" t="n">
        <v>-23</v>
      </c>
      <c r="H600" t="n">
        <v>-40.35</v>
      </c>
      <c r="I600" t="n">
        <v>25</v>
      </c>
      <c r="J600" t="n">
        <v>45</v>
      </c>
      <c r="K600" t="n">
        <v>25</v>
      </c>
      <c r="L600" t="b">
        <v>0</v>
      </c>
      <c r="M600" t="b">
        <v>0</v>
      </c>
      <c r="N600" t="inlineStr">
        <is>
          <t>AVOID</t>
        </is>
      </c>
    </row>
    <row r="601">
      <c r="A601" t="n">
        <v>600</v>
      </c>
      <c r="B601" t="inlineStr">
        <is>
          <t>FORM</t>
        </is>
      </c>
      <c r="C601" t="inlineStr">
        <is>
          <t>2026-07-30</t>
        </is>
      </c>
      <c r="D601" t="n">
        <v>104.47</v>
      </c>
      <c r="E601" t="n">
        <v>42.24</v>
      </c>
      <c r="F601" t="n">
        <v>1.14</v>
      </c>
      <c r="G601" t="n">
        <v>-23.14</v>
      </c>
      <c r="H601" t="n">
        <v>-34.67</v>
      </c>
      <c r="I601" t="n">
        <v>25</v>
      </c>
      <c r="J601" t="n">
        <v>40</v>
      </c>
      <c r="K601" t="n">
        <v>25</v>
      </c>
      <c r="L601" t="b">
        <v>0</v>
      </c>
      <c r="M601" t="b">
        <v>0</v>
      </c>
      <c r="N601" t="inlineStr">
        <is>
          <t>AVOID</t>
        </is>
      </c>
    </row>
    <row r="602">
      <c r="A602" t="n">
        <v>601</v>
      </c>
      <c r="B602" t="inlineStr">
        <is>
          <t>DIOD</t>
        </is>
      </c>
      <c r="C602" t="inlineStr">
        <is>
          <t>2026-07-30</t>
        </is>
      </c>
      <c r="D602" t="n">
        <v>82.12</v>
      </c>
      <c r="E602" t="n">
        <v>36.17</v>
      </c>
      <c r="F602" t="n">
        <v>0.84</v>
      </c>
      <c r="G602" t="n">
        <v>-23.36</v>
      </c>
      <c r="H602" t="n">
        <v>-33.11</v>
      </c>
      <c r="I602" t="n">
        <v>25</v>
      </c>
      <c r="J602" t="n">
        <v>25</v>
      </c>
      <c r="K602" t="n">
        <v>25</v>
      </c>
      <c r="L602" t="b">
        <v>0</v>
      </c>
      <c r="M602" t="b">
        <v>0</v>
      </c>
      <c r="N602" t="inlineStr">
        <is>
          <t>AVOID</t>
        </is>
      </c>
    </row>
    <row r="603">
      <c r="A603" t="n">
        <v>602</v>
      </c>
      <c r="B603" t="inlineStr">
        <is>
          <t>VICR</t>
        </is>
      </c>
      <c r="C603" t="inlineStr">
        <is>
          <t>2026-07-30</t>
        </is>
      </c>
      <c r="D603" t="n">
        <v>206</v>
      </c>
      <c r="E603" t="n">
        <v>32.15</v>
      </c>
      <c r="F603" t="n">
        <v>0.8</v>
      </c>
      <c r="G603" t="n">
        <v>-23.5</v>
      </c>
      <c r="H603" t="n">
        <v>-45.76</v>
      </c>
      <c r="I603" t="n">
        <v>25</v>
      </c>
      <c r="J603" t="n">
        <v>25</v>
      </c>
      <c r="K603" t="n">
        <v>25</v>
      </c>
      <c r="L603" t="b">
        <v>0</v>
      </c>
      <c r="M603" t="b">
        <v>0</v>
      </c>
      <c r="N603" t="inlineStr">
        <is>
          <t>AVOID</t>
        </is>
      </c>
    </row>
    <row r="604">
      <c r="A604" t="n">
        <v>603</v>
      </c>
      <c r="B604" t="inlineStr">
        <is>
          <t>LITE</t>
        </is>
      </c>
      <c r="C604" t="inlineStr">
        <is>
          <t>2026-07-30</t>
        </is>
      </c>
      <c r="D604" t="n">
        <v>689.92</v>
      </c>
      <c r="E604" t="n">
        <v>41.39</v>
      </c>
      <c r="F604" t="n">
        <v>0.9</v>
      </c>
      <c r="G604" t="n">
        <v>-23.54</v>
      </c>
      <c r="H604" t="n">
        <v>-34.49</v>
      </c>
      <c r="I604" t="n">
        <v>25</v>
      </c>
      <c r="J604" t="n">
        <v>25</v>
      </c>
      <c r="K604" t="n">
        <v>25</v>
      </c>
      <c r="L604" t="b">
        <v>0</v>
      </c>
      <c r="M604" t="b">
        <v>0</v>
      </c>
      <c r="N604" t="inlineStr">
        <is>
          <t>AVOID</t>
        </is>
      </c>
    </row>
    <row r="605">
      <c r="A605" t="n">
        <v>604</v>
      </c>
      <c r="B605" t="inlineStr">
        <is>
          <t>CENX</t>
        </is>
      </c>
      <c r="C605" t="inlineStr">
        <is>
          <t>2026-07-30</t>
        </is>
      </c>
      <c r="D605" t="n">
        <v>44.95</v>
      </c>
      <c r="E605" t="n">
        <v>50.83</v>
      </c>
      <c r="F605" t="n">
        <v>0.43</v>
      </c>
      <c r="G605" t="n">
        <v>-24.38</v>
      </c>
      <c r="H605" t="n">
        <v>-34.64</v>
      </c>
      <c r="I605" t="n">
        <v>25</v>
      </c>
      <c r="J605" t="n">
        <v>40</v>
      </c>
      <c r="K605" t="n">
        <v>25</v>
      </c>
      <c r="L605" t="b">
        <v>0</v>
      </c>
      <c r="M605" t="b">
        <v>0</v>
      </c>
      <c r="N605" t="inlineStr">
        <is>
          <t>AVOID</t>
        </is>
      </c>
    </row>
    <row r="606">
      <c r="A606" t="n">
        <v>605</v>
      </c>
      <c r="B606" t="inlineStr">
        <is>
          <t>POWL</t>
        </is>
      </c>
      <c r="C606" t="inlineStr">
        <is>
          <t>2026-07-30</t>
        </is>
      </c>
      <c r="D606" t="n">
        <v>208.81</v>
      </c>
      <c r="E606" t="n">
        <v>42.03</v>
      </c>
      <c r="F606" t="n">
        <v>0.68</v>
      </c>
      <c r="G606" t="n">
        <v>-24.66</v>
      </c>
      <c r="H606" t="n">
        <v>-35.14</v>
      </c>
      <c r="I606" t="n">
        <v>25</v>
      </c>
      <c r="J606" t="n">
        <v>25</v>
      </c>
      <c r="K606" t="n">
        <v>25</v>
      </c>
      <c r="L606" t="b">
        <v>0</v>
      </c>
      <c r="M606" t="b">
        <v>0</v>
      </c>
      <c r="N606" t="inlineStr">
        <is>
          <t>AVOID</t>
        </is>
      </c>
    </row>
    <row r="607">
      <c r="A607" t="n">
        <v>606</v>
      </c>
      <c r="B607" t="inlineStr">
        <is>
          <t>TIGR</t>
        </is>
      </c>
      <c r="C607" t="inlineStr">
        <is>
          <t>2026-07-30</t>
        </is>
      </c>
      <c r="D607" t="n">
        <v>4.86</v>
      </c>
      <c r="E607" t="n">
        <v>59.7</v>
      </c>
      <c r="F607" t="n">
        <v>0.48</v>
      </c>
      <c r="G607" t="n">
        <v>-26.29</v>
      </c>
      <c r="H607" t="n">
        <v>-62.55</v>
      </c>
      <c r="I607" t="n">
        <v>25</v>
      </c>
      <c r="J607" t="n">
        <v>45</v>
      </c>
      <c r="K607" t="n">
        <v>25</v>
      </c>
      <c r="L607" t="b">
        <v>0</v>
      </c>
      <c r="M607" t="b">
        <v>0</v>
      </c>
      <c r="N607" t="inlineStr">
        <is>
          <t>AVOID</t>
        </is>
      </c>
    </row>
    <row r="608">
      <c r="A608" t="n">
        <v>607</v>
      </c>
      <c r="B608" t="inlineStr">
        <is>
          <t>TTMI</t>
        </is>
      </c>
      <c r="C608" t="inlineStr">
        <is>
          <t>2026-07-30</t>
        </is>
      </c>
      <c r="D608" t="n">
        <v>116.17</v>
      </c>
      <c r="E608" t="n">
        <v>35.9</v>
      </c>
      <c r="F608" t="n">
        <v>0.93</v>
      </c>
      <c r="G608" t="n">
        <v>-26.58</v>
      </c>
      <c r="H608" t="n">
        <v>-47.55</v>
      </c>
      <c r="I608" t="n">
        <v>25</v>
      </c>
      <c r="J608" t="n">
        <v>25</v>
      </c>
      <c r="K608" t="n">
        <v>25</v>
      </c>
      <c r="L608" t="b">
        <v>0</v>
      </c>
      <c r="M608" t="b">
        <v>0</v>
      </c>
      <c r="N608" t="inlineStr">
        <is>
          <t>AVOID</t>
        </is>
      </c>
    </row>
    <row r="609">
      <c r="A609" t="n">
        <v>608</v>
      </c>
      <c r="B609" t="inlineStr">
        <is>
          <t>RLMD</t>
        </is>
      </c>
      <c r="C609" t="inlineStr">
        <is>
          <t>2026-07-30</t>
        </is>
      </c>
      <c r="D609" t="n">
        <v>5.38</v>
      </c>
      <c r="E609" t="n">
        <v>30.73</v>
      </c>
      <c r="F609" t="n">
        <v>0.31</v>
      </c>
      <c r="G609" t="n">
        <v>-28.52</v>
      </c>
      <c r="H609" t="n">
        <v>-31.62</v>
      </c>
      <c r="I609" t="n">
        <v>25</v>
      </c>
      <c r="J609" t="n">
        <v>25</v>
      </c>
      <c r="K609" t="n">
        <v>25</v>
      </c>
      <c r="L609" t="b">
        <v>0</v>
      </c>
      <c r="M609" t="b">
        <v>0</v>
      </c>
      <c r="N609" t="inlineStr">
        <is>
          <t>AVOID</t>
        </is>
      </c>
    </row>
    <row r="610">
      <c r="A610" t="n">
        <v>609</v>
      </c>
      <c r="B610" t="inlineStr">
        <is>
          <t>AOSL</t>
        </is>
      </c>
      <c r="C610" t="inlineStr">
        <is>
          <t>2026-07-30</t>
        </is>
      </c>
      <c r="D610" t="n">
        <v>30.63</v>
      </c>
      <c r="E610" t="n">
        <v>34.72</v>
      </c>
      <c r="F610" t="n">
        <v>0.37</v>
      </c>
      <c r="G610" t="n">
        <v>-29.47</v>
      </c>
      <c r="H610" t="n">
        <v>-42.55</v>
      </c>
      <c r="I610" t="n">
        <v>25</v>
      </c>
      <c r="J610" t="n">
        <v>25</v>
      </c>
      <c r="K610" t="n">
        <v>25</v>
      </c>
      <c r="L610" t="b">
        <v>0</v>
      </c>
      <c r="M610" t="b">
        <v>0</v>
      </c>
      <c r="N610" t="inlineStr">
        <is>
          <t>AVOID</t>
        </is>
      </c>
    </row>
    <row r="611">
      <c r="A611" t="n">
        <v>610</v>
      </c>
      <c r="B611" t="inlineStr">
        <is>
          <t>STRO</t>
        </is>
      </c>
      <c r="C611" t="inlineStr">
        <is>
          <t>2026-07-30</t>
        </is>
      </c>
      <c r="D611" t="n">
        <v>24.9</v>
      </c>
      <c r="E611" t="n">
        <v>30.32</v>
      </c>
      <c r="F611" t="n">
        <v>0.2</v>
      </c>
      <c r="G611" t="n">
        <v>-32</v>
      </c>
      <c r="H611" t="n">
        <v>-39.13</v>
      </c>
      <c r="I611" t="n">
        <v>25</v>
      </c>
      <c r="J611" t="n">
        <v>25</v>
      </c>
      <c r="K611" t="n">
        <v>25</v>
      </c>
      <c r="L611" t="b">
        <v>0</v>
      </c>
      <c r="M611" t="b">
        <v>0</v>
      </c>
      <c r="N611" t="inlineStr">
        <is>
          <t>AVOID</t>
        </is>
      </c>
    </row>
    <row r="612">
      <c r="A612" t="n">
        <v>611</v>
      </c>
      <c r="B612" t="inlineStr">
        <is>
          <t>FUTU</t>
        </is>
      </c>
      <c r="C612" t="inlineStr">
        <is>
          <t>2026-07-30</t>
        </is>
      </c>
      <c r="D612" t="n">
        <v>103.95</v>
      </c>
      <c r="E612" t="n">
        <v>60.8</v>
      </c>
      <c r="F612" t="n">
        <v>0.28</v>
      </c>
      <c r="G612" t="n">
        <v>-32.72</v>
      </c>
      <c r="H612" t="n">
        <v>-46.94</v>
      </c>
      <c r="I612" t="n">
        <v>25</v>
      </c>
      <c r="J612" t="n">
        <v>45</v>
      </c>
      <c r="K612" t="n">
        <v>25</v>
      </c>
      <c r="L612" t="b">
        <v>0</v>
      </c>
      <c r="M612" t="b">
        <v>0</v>
      </c>
      <c r="N612" t="inlineStr">
        <is>
          <t>AVOID</t>
        </is>
      </c>
    </row>
    <row r="613">
      <c r="A613" t="n">
        <v>612</v>
      </c>
      <c r="B613" t="inlineStr">
        <is>
          <t>VIAV</t>
        </is>
      </c>
      <c r="C613" t="inlineStr">
        <is>
          <t>2026-07-30</t>
        </is>
      </c>
      <c r="D613" t="n">
        <v>35.12</v>
      </c>
      <c r="E613" t="n">
        <v>35.67</v>
      </c>
      <c r="F613" t="n">
        <v>0.83</v>
      </c>
      <c r="G613" t="n">
        <v>-32.98</v>
      </c>
      <c r="H613" t="n">
        <v>-36.53</v>
      </c>
      <c r="I613" t="n">
        <v>25</v>
      </c>
      <c r="J613" t="n">
        <v>25</v>
      </c>
      <c r="K613" t="n">
        <v>25</v>
      </c>
      <c r="L613" t="b">
        <v>0</v>
      </c>
      <c r="M613" t="b">
        <v>0</v>
      </c>
      <c r="N613" t="inlineStr">
        <is>
          <t>AVOID</t>
        </is>
      </c>
    </row>
    <row r="614">
      <c r="A614" t="n">
        <v>613</v>
      </c>
      <c r="B614" t="inlineStr">
        <is>
          <t>ATOM</t>
        </is>
      </c>
      <c r="C614" t="inlineStr">
        <is>
          <t>2026-07-30</t>
        </is>
      </c>
      <c r="D614" t="n">
        <v>5.06</v>
      </c>
      <c r="E614" t="n">
        <v>30.03</v>
      </c>
      <c r="F614" t="n">
        <v>0.52</v>
      </c>
      <c r="G614" t="n">
        <v>-38.14</v>
      </c>
      <c r="H614" t="n">
        <v>-58.22</v>
      </c>
      <c r="I614" t="n">
        <v>25</v>
      </c>
      <c r="J614" t="n">
        <v>25</v>
      </c>
      <c r="K614" t="n">
        <v>25</v>
      </c>
      <c r="L614" t="b">
        <v>0</v>
      </c>
      <c r="M614" t="b">
        <v>0</v>
      </c>
      <c r="N614" t="inlineStr">
        <is>
          <t>AVOID</t>
        </is>
      </c>
    </row>
    <row r="615">
      <c r="A615" t="n">
        <v>614</v>
      </c>
      <c r="B615" t="inlineStr">
        <is>
          <t>GO</t>
        </is>
      </c>
      <c r="C615" t="inlineStr">
        <is>
          <t>2026-07-30</t>
        </is>
      </c>
      <c r="D615" t="n">
        <v>9.119999999999999</v>
      </c>
      <c r="E615" t="n">
        <v>28.92</v>
      </c>
      <c r="F615" t="n">
        <v>0.67</v>
      </c>
      <c r="G615" t="n">
        <v>15.3</v>
      </c>
      <c r="H615" t="n">
        <v>-51.13</v>
      </c>
      <c r="I615" t="n">
        <v>10</v>
      </c>
      <c r="J615" t="n">
        <v>0</v>
      </c>
      <c r="K615" t="n">
        <v>20</v>
      </c>
      <c r="L615" t="b">
        <v>0</v>
      </c>
      <c r="M615" t="b">
        <v>0</v>
      </c>
      <c r="N615" t="inlineStr">
        <is>
          <t>AVOID</t>
        </is>
      </c>
    </row>
    <row r="616">
      <c r="A616" t="n">
        <v>615</v>
      </c>
      <c r="B616" t="inlineStr">
        <is>
          <t>QTRX</t>
        </is>
      </c>
      <c r="C616" t="inlineStr">
        <is>
          <t>2026-07-30</t>
        </is>
      </c>
      <c r="D616" t="n">
        <v>3.53</v>
      </c>
      <c r="E616" t="n">
        <v>39.94</v>
      </c>
      <c r="F616" t="n">
        <v>0.63</v>
      </c>
      <c r="G616" t="n">
        <v>12.78</v>
      </c>
      <c r="H616" t="n">
        <v>-56.2</v>
      </c>
      <c r="I616" t="n">
        <v>10</v>
      </c>
      <c r="J616" t="n">
        <v>0</v>
      </c>
      <c r="K616" t="n">
        <v>20</v>
      </c>
      <c r="L616" t="b">
        <v>0</v>
      </c>
      <c r="M616" t="b">
        <v>0</v>
      </c>
      <c r="N616" t="inlineStr">
        <is>
          <t>AVOID</t>
        </is>
      </c>
    </row>
    <row r="617">
      <c r="A617" t="n">
        <v>616</v>
      </c>
      <c r="B617" t="inlineStr">
        <is>
          <t>CWST</t>
        </is>
      </c>
      <c r="C617" t="inlineStr">
        <is>
          <t>2026-07-30</t>
        </is>
      </c>
      <c r="D617" t="n">
        <v>88.23999999999999</v>
      </c>
      <c r="E617" t="n">
        <v>30.43</v>
      </c>
      <c r="F617" t="n">
        <v>0.5600000000000001</v>
      </c>
      <c r="G617" t="n">
        <v>11.34</v>
      </c>
      <c r="H617" t="n">
        <v>-18.84</v>
      </c>
      <c r="I617" t="n">
        <v>10</v>
      </c>
      <c r="J617" t="n">
        <v>0</v>
      </c>
      <c r="K617" t="n">
        <v>20</v>
      </c>
      <c r="L617" t="b">
        <v>0</v>
      </c>
      <c r="M617" t="b">
        <v>0</v>
      </c>
      <c r="N617" t="inlineStr">
        <is>
          <t>AVOID</t>
        </is>
      </c>
    </row>
    <row r="618">
      <c r="A618" t="n">
        <v>617</v>
      </c>
      <c r="B618" t="inlineStr">
        <is>
          <t>ENPH</t>
        </is>
      </c>
      <c r="C618" t="inlineStr">
        <is>
          <t>2026-07-30</t>
        </is>
      </c>
      <c r="D618" t="n">
        <v>36.65</v>
      </c>
      <c r="E618" t="n">
        <v>29.3</v>
      </c>
      <c r="F618" t="n">
        <v>0.73</v>
      </c>
      <c r="G618" t="n">
        <v>11.2</v>
      </c>
      <c r="H618" t="n">
        <v>-49.33</v>
      </c>
      <c r="I618" t="n">
        <v>10</v>
      </c>
      <c r="J618" t="n">
        <v>0</v>
      </c>
      <c r="K618" t="n">
        <v>20</v>
      </c>
      <c r="L618" t="b">
        <v>0</v>
      </c>
      <c r="M618" t="b">
        <v>0</v>
      </c>
      <c r="N618" t="inlineStr">
        <is>
          <t>AVOID</t>
        </is>
      </c>
    </row>
    <row r="619">
      <c r="A619" t="n">
        <v>618</v>
      </c>
      <c r="B619" t="inlineStr">
        <is>
          <t>RGNX</t>
        </is>
      </c>
      <c r="C619" t="inlineStr">
        <is>
          <t>2026-07-30</t>
        </is>
      </c>
      <c r="D619" t="n">
        <v>9.83</v>
      </c>
      <c r="E619" t="n">
        <v>13.08</v>
      </c>
      <c r="F619" t="n">
        <v>0.31</v>
      </c>
      <c r="G619" t="n">
        <v>9.59</v>
      </c>
      <c r="H619" t="n">
        <v>-38.49</v>
      </c>
      <c r="I619" t="n">
        <v>20</v>
      </c>
      <c r="J619" t="n">
        <v>20</v>
      </c>
      <c r="K619" t="n">
        <v>20</v>
      </c>
      <c r="L619" t="b">
        <v>0</v>
      </c>
      <c r="M619" t="b">
        <v>0</v>
      </c>
      <c r="N619" t="inlineStr">
        <is>
          <t>AVOID</t>
        </is>
      </c>
    </row>
    <row r="620">
      <c r="A620" t="n">
        <v>619</v>
      </c>
      <c r="B620" t="inlineStr">
        <is>
          <t>MYGN</t>
        </is>
      </c>
      <c r="C620" t="inlineStr">
        <is>
          <t>2026-07-30</t>
        </is>
      </c>
      <c r="D620" t="n">
        <v>5.18</v>
      </c>
      <c r="E620" t="n">
        <v>33.67</v>
      </c>
      <c r="F620" t="n">
        <v>1.17</v>
      </c>
      <c r="G620" t="n">
        <v>9.16</v>
      </c>
      <c r="H620" t="n">
        <v>-36.61</v>
      </c>
      <c r="I620" t="n">
        <v>20</v>
      </c>
      <c r="J620" t="n">
        <v>35</v>
      </c>
      <c r="K620" t="n">
        <v>20</v>
      </c>
      <c r="L620" t="b">
        <v>0</v>
      </c>
      <c r="M620" t="b">
        <v>0</v>
      </c>
      <c r="N620" t="inlineStr">
        <is>
          <t>AVOID</t>
        </is>
      </c>
    </row>
    <row r="621">
      <c r="A621" t="n">
        <v>620</v>
      </c>
      <c r="B621" t="inlineStr">
        <is>
          <t>WEN</t>
        </is>
      </c>
      <c r="C621" t="inlineStr">
        <is>
          <t>2026-07-30</t>
        </is>
      </c>
      <c r="D621" t="n">
        <v>7.45</v>
      </c>
      <c r="E621" t="n">
        <v>47.87</v>
      </c>
      <c r="F621" t="n">
        <v>0.31</v>
      </c>
      <c r="G621" t="n">
        <v>8.949999999999999</v>
      </c>
      <c r="H621" t="n">
        <v>-25.48</v>
      </c>
      <c r="I621" t="n">
        <v>20</v>
      </c>
      <c r="J621" t="n">
        <v>60</v>
      </c>
      <c r="K621" t="n">
        <v>20</v>
      </c>
      <c r="L621" t="b">
        <v>0</v>
      </c>
      <c r="M621" t="b">
        <v>0</v>
      </c>
      <c r="N621" t="inlineStr">
        <is>
          <t>AVOID</t>
        </is>
      </c>
    </row>
    <row r="622">
      <c r="A622" t="n">
        <v>621</v>
      </c>
      <c r="B622" t="inlineStr">
        <is>
          <t>GMAB</t>
        </is>
      </c>
      <c r="C622" t="inlineStr">
        <is>
          <t>2026-07-30</t>
        </is>
      </c>
      <c r="D622" t="n">
        <v>28.59</v>
      </c>
      <c r="E622" t="n">
        <v>45.08</v>
      </c>
      <c r="F622" t="n">
        <v>0.64</v>
      </c>
      <c r="G622" t="n">
        <v>7.81</v>
      </c>
      <c r="H622" t="n">
        <v>-19.1</v>
      </c>
      <c r="I622" t="n">
        <v>20</v>
      </c>
      <c r="J622" t="n">
        <v>60</v>
      </c>
      <c r="K622" t="n">
        <v>20</v>
      </c>
      <c r="L622" t="b">
        <v>0</v>
      </c>
      <c r="M622" t="b">
        <v>0</v>
      </c>
      <c r="N622" t="inlineStr">
        <is>
          <t>AVOID</t>
        </is>
      </c>
    </row>
    <row r="623">
      <c r="A623" t="n">
        <v>622</v>
      </c>
      <c r="B623" t="inlineStr">
        <is>
          <t>KURA</t>
        </is>
      </c>
      <c r="C623" t="inlineStr">
        <is>
          <t>2026-07-30</t>
        </is>
      </c>
      <c r="D623" t="n">
        <v>9.279999999999999</v>
      </c>
      <c r="E623" t="n">
        <v>23.73</v>
      </c>
      <c r="F623" t="n">
        <v>0.58</v>
      </c>
      <c r="G623" t="n">
        <v>5.1</v>
      </c>
      <c r="H623" t="n">
        <v>-23.56</v>
      </c>
      <c r="I623" t="n">
        <v>20</v>
      </c>
      <c r="J623" t="n">
        <v>0</v>
      </c>
      <c r="K623" t="n">
        <v>20</v>
      </c>
      <c r="L623" t="b">
        <v>0</v>
      </c>
      <c r="M623" t="b">
        <v>0</v>
      </c>
      <c r="N623" t="inlineStr">
        <is>
          <t>AVOID</t>
        </is>
      </c>
    </row>
    <row r="624">
      <c r="A624" t="n">
        <v>623</v>
      </c>
      <c r="B624" t="inlineStr">
        <is>
          <t>RARE</t>
        </is>
      </c>
      <c r="C624" t="inlineStr">
        <is>
          <t>2026-07-30</t>
        </is>
      </c>
      <c r="D624" t="n">
        <v>25.61</v>
      </c>
      <c r="E624" t="n">
        <v>7.28</v>
      </c>
      <c r="F624" t="n">
        <v>0.53</v>
      </c>
      <c r="G624" t="n">
        <v>3.73</v>
      </c>
      <c r="H624" t="n">
        <v>-29.91</v>
      </c>
      <c r="I624" t="n">
        <v>20</v>
      </c>
      <c r="J624" t="n">
        <v>0</v>
      </c>
      <c r="K624" t="n">
        <v>20</v>
      </c>
      <c r="L624" t="b">
        <v>0</v>
      </c>
      <c r="M624" t="b">
        <v>0</v>
      </c>
      <c r="N624" t="inlineStr">
        <is>
          <t>AVOID</t>
        </is>
      </c>
    </row>
    <row r="625">
      <c r="A625" t="n">
        <v>624</v>
      </c>
      <c r="B625" t="inlineStr">
        <is>
          <t>TRUP</t>
        </is>
      </c>
      <c r="C625" t="inlineStr">
        <is>
          <t>2026-07-30</t>
        </is>
      </c>
      <c r="D625" t="n">
        <v>24.37</v>
      </c>
      <c r="E625" t="n">
        <v>43.8</v>
      </c>
      <c r="F625" t="n">
        <v>0.53</v>
      </c>
      <c r="G625" t="n">
        <v>1.58</v>
      </c>
      <c r="H625" t="n">
        <v>-51.89</v>
      </c>
      <c r="I625" t="n">
        <v>20</v>
      </c>
      <c r="J625" t="n">
        <v>20</v>
      </c>
      <c r="K625" t="n">
        <v>20</v>
      </c>
      <c r="L625" t="b">
        <v>0</v>
      </c>
      <c r="M625" t="b">
        <v>0</v>
      </c>
      <c r="N625" t="inlineStr">
        <is>
          <t>AVOID</t>
        </is>
      </c>
    </row>
    <row r="626">
      <c r="A626" t="n">
        <v>625</v>
      </c>
      <c r="B626" t="inlineStr">
        <is>
          <t>RGP</t>
        </is>
      </c>
      <c r="C626" t="inlineStr">
        <is>
          <t>2026-07-30</t>
        </is>
      </c>
      <c r="D626" t="n">
        <v>4.21</v>
      </c>
      <c r="E626" t="n">
        <v>37.8</v>
      </c>
      <c r="F626" t="n">
        <v>0.55</v>
      </c>
      <c r="G626" t="n">
        <v>0.88</v>
      </c>
      <c r="H626" t="n">
        <v>-19.15</v>
      </c>
      <c r="I626" t="n">
        <v>20</v>
      </c>
      <c r="J626" t="n">
        <v>0</v>
      </c>
      <c r="K626" t="n">
        <v>20</v>
      </c>
      <c r="L626" t="b">
        <v>0</v>
      </c>
      <c r="M626" t="b">
        <v>0</v>
      </c>
      <c r="N626" t="inlineStr">
        <is>
          <t>AVOID</t>
        </is>
      </c>
    </row>
    <row r="627">
      <c r="A627" t="n">
        <v>626</v>
      </c>
      <c r="B627" t="inlineStr">
        <is>
          <t>TBPH</t>
        </is>
      </c>
      <c r="C627" t="inlineStr">
        <is>
          <t>2026-07-30</t>
        </is>
      </c>
      <c r="D627" t="n">
        <v>16.86</v>
      </c>
      <c r="E627" t="n">
        <v>42.86</v>
      </c>
      <c r="F627" t="n">
        <v>0.23</v>
      </c>
      <c r="G627" t="n">
        <v>0.75</v>
      </c>
      <c r="H627" t="n">
        <v>-18.68</v>
      </c>
      <c r="I627" t="n">
        <v>20</v>
      </c>
      <c r="J627" t="n">
        <v>35</v>
      </c>
      <c r="K627" t="n">
        <v>20</v>
      </c>
      <c r="L627" t="b">
        <v>0</v>
      </c>
      <c r="M627" t="b">
        <v>0</v>
      </c>
      <c r="N627" t="inlineStr">
        <is>
          <t>AVOID</t>
        </is>
      </c>
    </row>
    <row r="628">
      <c r="A628" t="n">
        <v>627</v>
      </c>
      <c r="B628" t="inlineStr">
        <is>
          <t>CODX</t>
        </is>
      </c>
      <c r="C628" t="inlineStr">
        <is>
          <t>2026-07-30</t>
        </is>
      </c>
      <c r="D628" t="n">
        <v>1.56</v>
      </c>
      <c r="E628" t="n">
        <v>11.11</v>
      </c>
      <c r="F628" t="n">
        <v>1.76</v>
      </c>
      <c r="G628" t="n">
        <v>0.65</v>
      </c>
      <c r="H628" t="n">
        <v>-95.87</v>
      </c>
      <c r="I628" t="n">
        <v>0</v>
      </c>
      <c r="J628" t="n">
        <v>15</v>
      </c>
      <c r="K628" t="n">
        <v>20</v>
      </c>
      <c r="L628" t="b">
        <v>0</v>
      </c>
      <c r="M628" t="b">
        <v>0</v>
      </c>
      <c r="N628" t="inlineStr">
        <is>
          <t>AVOID</t>
        </is>
      </c>
    </row>
    <row r="629">
      <c r="A629" t="n">
        <v>628</v>
      </c>
      <c r="B629" t="inlineStr">
        <is>
          <t>FHTX</t>
        </is>
      </c>
      <c r="C629" t="inlineStr">
        <is>
          <t>2026-07-30</t>
        </is>
      </c>
      <c r="D629" t="n">
        <v>4.78</v>
      </c>
      <c r="E629" t="n">
        <v>25.93</v>
      </c>
      <c r="F629" t="n">
        <v>0.31</v>
      </c>
      <c r="G629" t="n">
        <v>0.63</v>
      </c>
      <c r="H629" t="n">
        <v>-28.44</v>
      </c>
      <c r="I629" t="n">
        <v>20</v>
      </c>
      <c r="J629" t="n">
        <v>20</v>
      </c>
      <c r="K629" t="n">
        <v>20</v>
      </c>
      <c r="L629" t="b">
        <v>0</v>
      </c>
      <c r="M629" t="b">
        <v>0</v>
      </c>
      <c r="N629" t="inlineStr">
        <is>
          <t>AVOID</t>
        </is>
      </c>
    </row>
    <row r="630">
      <c r="A630" t="n">
        <v>629</v>
      </c>
      <c r="B630" t="inlineStr">
        <is>
          <t>IDXX</t>
        </is>
      </c>
      <c r="C630" t="inlineStr">
        <is>
          <t>2026-07-30</t>
        </is>
      </c>
      <c r="D630" t="n">
        <v>558.01</v>
      </c>
      <c r="E630" t="n">
        <v>47.99</v>
      </c>
      <c r="F630" t="n">
        <v>0.35</v>
      </c>
      <c r="G630" t="n">
        <v>-0.5</v>
      </c>
      <c r="H630" t="n">
        <v>-27.22</v>
      </c>
      <c r="I630" t="n">
        <v>20</v>
      </c>
      <c r="J630" t="n">
        <v>60</v>
      </c>
      <c r="K630" t="n">
        <v>20</v>
      </c>
      <c r="L630" t="b">
        <v>0</v>
      </c>
      <c r="M630" t="b">
        <v>0</v>
      </c>
      <c r="N630" t="inlineStr">
        <is>
          <t>AVOID</t>
        </is>
      </c>
    </row>
    <row r="631">
      <c r="A631" t="n">
        <v>630</v>
      </c>
      <c r="B631" t="inlineStr">
        <is>
          <t>WMG</t>
        </is>
      </c>
      <c r="C631" t="inlineStr">
        <is>
          <t>2026-07-30</t>
        </is>
      </c>
      <c r="D631" t="n">
        <v>27.53</v>
      </c>
      <c r="E631" t="n">
        <v>41.62</v>
      </c>
      <c r="F631" t="n">
        <v>1.22</v>
      </c>
      <c r="G631" t="n">
        <v>-2.07</v>
      </c>
      <c r="H631" t="n">
        <v>-20.33</v>
      </c>
      <c r="I631" t="n">
        <v>10</v>
      </c>
      <c r="J631" t="n">
        <v>30</v>
      </c>
      <c r="K631" t="n">
        <v>20</v>
      </c>
      <c r="L631" t="b">
        <v>0</v>
      </c>
      <c r="M631" t="b">
        <v>0</v>
      </c>
      <c r="N631" t="inlineStr">
        <is>
          <t>AVOID</t>
        </is>
      </c>
    </row>
    <row r="632">
      <c r="A632" t="n">
        <v>631</v>
      </c>
      <c r="B632" t="inlineStr">
        <is>
          <t>VITL</t>
        </is>
      </c>
      <c r="C632" t="inlineStr">
        <is>
          <t>2026-07-30</t>
        </is>
      </c>
      <c r="D632" t="n">
        <v>12.71</v>
      </c>
      <c r="E632" t="n">
        <v>47.69</v>
      </c>
      <c r="F632" t="n">
        <v>0.45</v>
      </c>
      <c r="G632" t="n">
        <v>-6.89</v>
      </c>
      <c r="H632" t="n">
        <v>-75.75</v>
      </c>
      <c r="I632" t="n">
        <v>20</v>
      </c>
      <c r="J632" t="n">
        <v>45</v>
      </c>
      <c r="K632" t="n">
        <v>20</v>
      </c>
      <c r="L632" t="b">
        <v>0</v>
      </c>
      <c r="M632" t="b">
        <v>0</v>
      </c>
      <c r="N632" t="inlineStr">
        <is>
          <t>AVOID</t>
        </is>
      </c>
    </row>
    <row r="633">
      <c r="A633" t="n">
        <v>632</v>
      </c>
      <c r="B633" t="inlineStr">
        <is>
          <t>SNDX</t>
        </is>
      </c>
      <c r="C633" t="inlineStr">
        <is>
          <t>2026-07-30</t>
        </is>
      </c>
      <c r="D633" t="n">
        <v>19.36</v>
      </c>
      <c r="E633" t="n">
        <v>23.07</v>
      </c>
      <c r="F633" t="n">
        <v>0.37</v>
      </c>
      <c r="G633" t="n">
        <v>-9.66</v>
      </c>
      <c r="H633" t="n">
        <v>-23.02</v>
      </c>
      <c r="I633" t="n">
        <v>20</v>
      </c>
      <c r="J633" t="n">
        <v>0</v>
      </c>
      <c r="K633" t="n">
        <v>20</v>
      </c>
      <c r="L633" t="b">
        <v>0</v>
      </c>
      <c r="M633" t="b">
        <v>0</v>
      </c>
      <c r="N633" t="inlineStr">
        <is>
          <t>AVOID</t>
        </is>
      </c>
    </row>
    <row r="634">
      <c r="A634" t="n">
        <v>633</v>
      </c>
      <c r="B634" t="inlineStr">
        <is>
          <t>LOPE</t>
        </is>
      </c>
      <c r="C634" t="inlineStr">
        <is>
          <t>2026-07-30</t>
        </is>
      </c>
      <c r="D634" t="n">
        <v>150.2</v>
      </c>
      <c r="E634" t="n">
        <v>49.25</v>
      </c>
      <c r="F634" t="n">
        <v>0.68</v>
      </c>
      <c r="G634" t="n">
        <v>-11.16</v>
      </c>
      <c r="H634" t="n">
        <v>-31.9</v>
      </c>
      <c r="I634" t="n">
        <v>20</v>
      </c>
      <c r="J634" t="n">
        <v>60</v>
      </c>
      <c r="K634" t="n">
        <v>20</v>
      </c>
      <c r="L634" t="b">
        <v>0</v>
      </c>
      <c r="M634" t="b">
        <v>0</v>
      </c>
      <c r="N634" t="inlineStr">
        <is>
          <t>AVOID</t>
        </is>
      </c>
    </row>
    <row r="635">
      <c r="A635" t="n">
        <v>634</v>
      </c>
      <c r="B635" t="inlineStr">
        <is>
          <t>QCOM</t>
        </is>
      </c>
      <c r="C635" t="inlineStr">
        <is>
          <t>2026-07-30</t>
        </is>
      </c>
      <c r="D635" t="n">
        <v>151.91</v>
      </c>
      <c r="E635" t="n">
        <v>16.95</v>
      </c>
      <c r="F635" t="n">
        <v>1.26</v>
      </c>
      <c r="G635" t="n">
        <v>-15.1</v>
      </c>
      <c r="H635" t="n">
        <v>-39.26</v>
      </c>
      <c r="I635" t="n">
        <v>10</v>
      </c>
      <c r="J635" t="n">
        <v>15</v>
      </c>
      <c r="K635" t="n">
        <v>20</v>
      </c>
      <c r="L635" t="b">
        <v>0</v>
      </c>
      <c r="M635" t="b">
        <v>0</v>
      </c>
      <c r="N635" t="inlineStr">
        <is>
          <t>AVOID</t>
        </is>
      </c>
    </row>
    <row r="636">
      <c r="A636" t="n">
        <v>635</v>
      </c>
      <c r="B636" t="inlineStr">
        <is>
          <t>PMVP</t>
        </is>
      </c>
      <c r="C636" t="inlineStr">
        <is>
          <t>2026-07-30</t>
        </is>
      </c>
      <c r="D636" t="n">
        <v>1.11</v>
      </c>
      <c r="E636" t="n">
        <v>40.94</v>
      </c>
      <c r="F636" t="n">
        <v>1.36</v>
      </c>
      <c r="G636" t="n">
        <v>-20.5</v>
      </c>
      <c r="H636" t="n">
        <v>-38.61</v>
      </c>
      <c r="I636" t="n">
        <v>10</v>
      </c>
      <c r="J636" t="n">
        <v>15</v>
      </c>
      <c r="K636" t="n">
        <v>20</v>
      </c>
      <c r="L636" t="b">
        <v>0</v>
      </c>
      <c r="M636" t="b">
        <v>0</v>
      </c>
      <c r="N636" t="inlineStr">
        <is>
          <t>AVOID</t>
        </is>
      </c>
    </row>
    <row r="637">
      <c r="A637" t="n">
        <v>636</v>
      </c>
      <c r="B637" t="inlineStr">
        <is>
          <t>MNRO</t>
        </is>
      </c>
      <c r="C637" t="inlineStr">
        <is>
          <t>2026-07-30</t>
        </is>
      </c>
      <c r="D637" t="n">
        <v>13.6</v>
      </c>
      <c r="E637" t="n">
        <v>28.8</v>
      </c>
      <c r="F637" t="n">
        <v>1.45</v>
      </c>
      <c r="G637" t="n">
        <v>-21.14</v>
      </c>
      <c r="H637" t="n">
        <v>-41.12</v>
      </c>
      <c r="I637" t="n">
        <v>10</v>
      </c>
      <c r="J637" t="n">
        <v>15</v>
      </c>
      <c r="K637" t="n">
        <v>20</v>
      </c>
      <c r="L637" t="b">
        <v>0</v>
      </c>
      <c r="M637" t="b">
        <v>0</v>
      </c>
      <c r="N637" t="inlineStr">
        <is>
          <t>AVOID</t>
        </is>
      </c>
    </row>
    <row r="638">
      <c r="A638" t="n">
        <v>637</v>
      </c>
      <c r="B638" t="inlineStr">
        <is>
          <t>SHEN</t>
        </is>
      </c>
      <c r="C638" t="inlineStr">
        <is>
          <t>2026-07-30</t>
        </is>
      </c>
      <c r="D638" t="n">
        <v>11.65</v>
      </c>
      <c r="E638" t="n">
        <v>39.65</v>
      </c>
      <c r="F638" t="n">
        <v>1.21</v>
      </c>
      <c r="G638" t="n">
        <v>-25.94</v>
      </c>
      <c r="H638" t="n">
        <v>-31.87</v>
      </c>
      <c r="I638" t="n">
        <v>10</v>
      </c>
      <c r="J638" t="n">
        <v>15</v>
      </c>
      <c r="K638" t="n">
        <v>20</v>
      </c>
      <c r="L638" t="b">
        <v>0</v>
      </c>
      <c r="M638" t="b">
        <v>0</v>
      </c>
      <c r="N638" t="inlineStr">
        <is>
          <t>AVOID</t>
        </is>
      </c>
    </row>
    <row r="639">
      <c r="A639" t="n">
        <v>638</v>
      </c>
      <c r="B639" t="inlineStr">
        <is>
          <t>AXTI</t>
        </is>
      </c>
      <c r="C639" t="inlineStr">
        <is>
          <t>2026-07-30</t>
        </is>
      </c>
      <c r="D639" t="n">
        <v>46.34</v>
      </c>
      <c r="E639" t="n">
        <v>41.89</v>
      </c>
      <c r="F639" t="n">
        <v>1.26</v>
      </c>
      <c r="G639" t="n">
        <v>-41.5</v>
      </c>
      <c r="H639" t="n">
        <v>-67.09</v>
      </c>
      <c r="I639" t="n">
        <v>10</v>
      </c>
      <c r="J639" t="n">
        <v>15</v>
      </c>
      <c r="K639" t="n">
        <v>20</v>
      </c>
      <c r="L639" t="b">
        <v>0</v>
      </c>
      <c r="M639" t="b">
        <v>0</v>
      </c>
      <c r="N639" t="inlineStr">
        <is>
          <t>AVOID</t>
        </is>
      </c>
    </row>
    <row r="640">
      <c r="A640" t="n">
        <v>639</v>
      </c>
      <c r="B640" t="inlineStr">
        <is>
          <t>LESL</t>
        </is>
      </c>
      <c r="C640" t="inlineStr">
        <is>
          <t>2026-07-30</t>
        </is>
      </c>
      <c r="D640" t="n">
        <v>0.87</v>
      </c>
      <c r="E640" t="n">
        <v>2.31</v>
      </c>
      <c r="F640" t="n">
        <v>1.38</v>
      </c>
      <c r="G640" t="n">
        <v>-48.96</v>
      </c>
      <c r="H640" t="n">
        <v>-91.95999999999999</v>
      </c>
      <c r="I640" t="n">
        <v>10</v>
      </c>
      <c r="J640" t="n">
        <v>15</v>
      </c>
      <c r="K640" t="n">
        <v>20</v>
      </c>
      <c r="L640" t="b">
        <v>0</v>
      </c>
      <c r="M640" t="b">
        <v>0</v>
      </c>
      <c r="N640" t="inlineStr">
        <is>
          <t>AVOID</t>
        </is>
      </c>
    </row>
    <row r="641">
      <c r="A641" t="n">
        <v>640</v>
      </c>
      <c r="B641" t="inlineStr">
        <is>
          <t>QFIN</t>
        </is>
      </c>
      <c r="C641" t="inlineStr">
        <is>
          <t>2026-07-30</t>
        </is>
      </c>
      <c r="D641" t="n">
        <v>13.85</v>
      </c>
      <c r="E641" t="n">
        <v>60.45</v>
      </c>
      <c r="F641" t="n">
        <v>0.38</v>
      </c>
      <c r="G641" t="n">
        <v>5.85</v>
      </c>
      <c r="H641" t="n">
        <v>-56.77</v>
      </c>
      <c r="I641" t="n">
        <v>15</v>
      </c>
      <c r="J641" t="n">
        <v>40</v>
      </c>
      <c r="K641" t="n">
        <v>15</v>
      </c>
      <c r="L641" t="b">
        <v>0</v>
      </c>
      <c r="M641" t="b">
        <v>0</v>
      </c>
      <c r="N641" t="inlineStr">
        <is>
          <t>AVOID</t>
        </is>
      </c>
    </row>
    <row r="642">
      <c r="A642" t="n">
        <v>641</v>
      </c>
      <c r="B642" t="inlineStr">
        <is>
          <t>ORGO</t>
        </is>
      </c>
      <c r="C642" t="inlineStr">
        <is>
          <t>2026-07-30</t>
        </is>
      </c>
      <c r="D642" t="n">
        <v>2.43</v>
      </c>
      <c r="E642" t="n">
        <v>51.2</v>
      </c>
      <c r="F642" t="n">
        <v>0.52</v>
      </c>
      <c r="G642" t="n">
        <v>3.36</v>
      </c>
      <c r="H642" t="n">
        <v>-62.86</v>
      </c>
      <c r="I642" t="n">
        <v>15</v>
      </c>
      <c r="J642" t="n">
        <v>40</v>
      </c>
      <c r="K642" t="n">
        <v>15</v>
      </c>
      <c r="L642" t="b">
        <v>0</v>
      </c>
      <c r="M642" t="b">
        <v>0</v>
      </c>
      <c r="N642" t="inlineStr">
        <is>
          <t>AVOID</t>
        </is>
      </c>
    </row>
    <row r="643">
      <c r="A643" t="n">
        <v>642</v>
      </c>
      <c r="B643" t="inlineStr">
        <is>
          <t>PLAY</t>
        </is>
      </c>
      <c r="C643" t="inlineStr">
        <is>
          <t>2026-07-30</t>
        </is>
      </c>
      <c r="D643" t="n">
        <v>10.52</v>
      </c>
      <c r="E643" t="n">
        <v>50.71</v>
      </c>
      <c r="F643" t="n">
        <v>0.38</v>
      </c>
      <c r="G643" t="n">
        <v>-6.65</v>
      </c>
      <c r="H643" t="n">
        <v>-65.52</v>
      </c>
      <c r="I643" t="n">
        <v>15</v>
      </c>
      <c r="J643" t="n">
        <v>40</v>
      </c>
      <c r="K643" t="n">
        <v>15</v>
      </c>
      <c r="L643" t="b">
        <v>0</v>
      </c>
      <c r="M643" t="b">
        <v>0</v>
      </c>
      <c r="N643" t="inlineStr">
        <is>
          <t>AVOID</t>
        </is>
      </c>
    </row>
    <row r="644">
      <c r="A644" t="n">
        <v>643</v>
      </c>
      <c r="B644" t="inlineStr">
        <is>
          <t>FOXA</t>
        </is>
      </c>
      <c r="C644" t="inlineStr">
        <is>
          <t>2026-07-30</t>
        </is>
      </c>
      <c r="D644" t="n">
        <v>58.43</v>
      </c>
      <c r="E644" t="n">
        <v>67.04000000000001</v>
      </c>
      <c r="F644" t="n">
        <v>0.33</v>
      </c>
      <c r="G644" t="n">
        <v>-7.97</v>
      </c>
      <c r="H644" t="n">
        <v>-22.85</v>
      </c>
      <c r="I644" t="n">
        <v>15</v>
      </c>
      <c r="J644" t="n">
        <v>0</v>
      </c>
      <c r="K644" t="n">
        <v>15</v>
      </c>
      <c r="L644" t="b">
        <v>0</v>
      </c>
      <c r="M644" t="b">
        <v>0</v>
      </c>
      <c r="N644" t="inlineStr">
        <is>
          <t>AVOID</t>
        </is>
      </c>
    </row>
    <row r="645">
      <c r="A645" t="n">
        <v>644</v>
      </c>
      <c r="B645" t="inlineStr">
        <is>
          <t>FOX</t>
        </is>
      </c>
      <c r="C645" t="inlineStr">
        <is>
          <t>2026-07-30</t>
        </is>
      </c>
      <c r="D645" t="n">
        <v>52.01</v>
      </c>
      <c r="E645" t="n">
        <v>64.73999999999999</v>
      </c>
      <c r="F645" t="n">
        <v>0.4</v>
      </c>
      <c r="G645" t="n">
        <v>-8.800000000000001</v>
      </c>
      <c r="H645" t="n">
        <v>-22.84</v>
      </c>
      <c r="I645" t="n">
        <v>15</v>
      </c>
      <c r="J645" t="n">
        <v>25</v>
      </c>
      <c r="K645" t="n">
        <v>15</v>
      </c>
      <c r="L645" t="b">
        <v>0</v>
      </c>
      <c r="M645" t="b">
        <v>0</v>
      </c>
      <c r="N645" t="inlineStr">
        <is>
          <t>AVOID</t>
        </is>
      </c>
    </row>
    <row r="646">
      <c r="A646" t="n">
        <v>645</v>
      </c>
      <c r="B646" t="inlineStr">
        <is>
          <t>PEP</t>
        </is>
      </c>
      <c r="C646" t="inlineStr">
        <is>
          <t>2026-07-30</t>
        </is>
      </c>
      <c r="D646" t="n">
        <v>140.17</v>
      </c>
      <c r="E646" t="n">
        <v>55.39</v>
      </c>
      <c r="F646" t="n">
        <v>0.55</v>
      </c>
      <c r="G646" t="n">
        <v>-10.63</v>
      </c>
      <c r="H646" t="n">
        <v>-16.18</v>
      </c>
      <c r="I646" t="n">
        <v>15</v>
      </c>
      <c r="J646" t="n">
        <v>40</v>
      </c>
      <c r="K646" t="n">
        <v>15</v>
      </c>
      <c r="L646" t="b">
        <v>0</v>
      </c>
      <c r="M646" t="b">
        <v>0</v>
      </c>
      <c r="N646" t="inlineStr">
        <is>
          <t>AVOID</t>
        </is>
      </c>
    </row>
    <row r="647">
      <c r="A647" t="n">
        <v>646</v>
      </c>
      <c r="B647" t="inlineStr">
        <is>
          <t>CPRT</t>
        </is>
      </c>
      <c r="C647" t="inlineStr">
        <is>
          <t>2026-07-30</t>
        </is>
      </c>
      <c r="D647" t="n">
        <v>29.41</v>
      </c>
      <c r="E647" t="n">
        <v>62.44</v>
      </c>
      <c r="F647" t="n">
        <v>0.54</v>
      </c>
      <c r="G647" t="n">
        <v>-11.19</v>
      </c>
      <c r="H647" t="n">
        <v>-41.15</v>
      </c>
      <c r="I647" t="n">
        <v>15</v>
      </c>
      <c r="J647" t="n">
        <v>25</v>
      </c>
      <c r="K647" t="n">
        <v>15</v>
      </c>
      <c r="L647" t="b">
        <v>0</v>
      </c>
      <c r="M647" t="b">
        <v>0</v>
      </c>
      <c r="N647" t="inlineStr">
        <is>
          <t>AVOID</t>
        </is>
      </c>
    </row>
    <row r="648">
      <c r="A648" t="n">
        <v>647</v>
      </c>
      <c r="B648" t="inlineStr">
        <is>
          <t>ORLY</t>
        </is>
      </c>
      <c r="C648" t="inlineStr">
        <is>
          <t>2026-07-30</t>
        </is>
      </c>
      <c r="D648" t="n">
        <v>88.26000000000001</v>
      </c>
      <c r="E648" t="n">
        <v>54.13</v>
      </c>
      <c r="F648" t="n">
        <v>0.86</v>
      </c>
      <c r="G648" t="n">
        <v>-11.2</v>
      </c>
      <c r="H648" t="n">
        <v>-18.14</v>
      </c>
      <c r="I648" t="n">
        <v>15</v>
      </c>
      <c r="J648" t="n">
        <v>40</v>
      </c>
      <c r="K648" t="n">
        <v>15</v>
      </c>
      <c r="L648" t="b">
        <v>0</v>
      </c>
      <c r="M648" t="b">
        <v>0</v>
      </c>
      <c r="N648" t="inlineStr">
        <is>
          <t>AVOID</t>
        </is>
      </c>
    </row>
    <row r="649">
      <c r="A649" t="n">
        <v>648</v>
      </c>
      <c r="B649" t="inlineStr">
        <is>
          <t>ASO</t>
        </is>
      </c>
      <c r="C649" t="inlineStr">
        <is>
          <t>2026-07-30</t>
        </is>
      </c>
      <c r="D649" t="n">
        <v>48.42</v>
      </c>
      <c r="E649" t="n">
        <v>58.51</v>
      </c>
      <c r="F649" t="n">
        <v>0.36</v>
      </c>
      <c r="G649" t="n">
        <v>-11.45</v>
      </c>
      <c r="H649" t="n">
        <v>-20.41</v>
      </c>
      <c r="I649" t="n">
        <v>15</v>
      </c>
      <c r="J649" t="n">
        <v>40</v>
      </c>
      <c r="K649" t="n">
        <v>15</v>
      </c>
      <c r="L649" t="b">
        <v>0</v>
      </c>
      <c r="M649" t="b">
        <v>0</v>
      </c>
      <c r="N649" t="inlineStr">
        <is>
          <t>AVOID</t>
        </is>
      </c>
    </row>
    <row r="650">
      <c r="A650" t="n">
        <v>649</v>
      </c>
      <c r="B650" t="inlineStr">
        <is>
          <t>RGLD</t>
        </is>
      </c>
      <c r="C650" t="inlineStr">
        <is>
          <t>2026-07-30</t>
        </is>
      </c>
      <c r="D650" t="n">
        <v>202.06</v>
      </c>
      <c r="E650" t="n">
        <v>56.78</v>
      </c>
      <c r="F650" t="n">
        <v>0.39</v>
      </c>
      <c r="G650" t="n">
        <v>-13.21</v>
      </c>
      <c r="H650" t="n">
        <v>-33.32</v>
      </c>
      <c r="I650" t="n">
        <v>15</v>
      </c>
      <c r="J650" t="n">
        <v>40</v>
      </c>
      <c r="K650" t="n">
        <v>15</v>
      </c>
      <c r="L650" t="b">
        <v>0</v>
      </c>
      <c r="M650" t="b">
        <v>0</v>
      </c>
      <c r="N650" t="inlineStr">
        <is>
          <t>AVOID</t>
        </is>
      </c>
    </row>
    <row r="651">
      <c r="A651" t="n">
        <v>650</v>
      </c>
      <c r="B651" t="inlineStr">
        <is>
          <t>STEP</t>
        </is>
      </c>
      <c r="C651" t="inlineStr">
        <is>
          <t>2026-07-30</t>
        </is>
      </c>
      <c r="D651" t="n">
        <v>43.93</v>
      </c>
      <c r="E651" t="n">
        <v>53.26</v>
      </c>
      <c r="F651" t="n">
        <v>0.26</v>
      </c>
      <c r="G651" t="n">
        <v>-15.37</v>
      </c>
      <c r="H651" t="n">
        <v>-40.95</v>
      </c>
      <c r="I651" t="n">
        <v>15</v>
      </c>
      <c r="J651" t="n">
        <v>40</v>
      </c>
      <c r="K651" t="n">
        <v>15</v>
      </c>
      <c r="L651" t="b">
        <v>0</v>
      </c>
      <c r="M651" t="b">
        <v>0</v>
      </c>
      <c r="N651" t="inlineStr">
        <is>
          <t>AVOID</t>
        </is>
      </c>
    </row>
    <row r="652">
      <c r="A652" t="n">
        <v>651</v>
      </c>
      <c r="B652" t="inlineStr">
        <is>
          <t>HTHT</t>
        </is>
      </c>
      <c r="C652" t="inlineStr">
        <is>
          <t>2026-07-30</t>
        </is>
      </c>
      <c r="D652" t="n">
        <v>42.23</v>
      </c>
      <c r="E652" t="n">
        <v>56.03</v>
      </c>
      <c r="F652" t="n">
        <v>0.64</v>
      </c>
      <c r="G652" t="n">
        <v>-16.08</v>
      </c>
      <c r="H652" t="n">
        <v>-22.7</v>
      </c>
      <c r="I652" t="n">
        <v>15</v>
      </c>
      <c r="J652" t="n">
        <v>40</v>
      </c>
      <c r="K652" t="n">
        <v>15</v>
      </c>
      <c r="L652" t="b">
        <v>0</v>
      </c>
      <c r="M652" t="b">
        <v>0</v>
      </c>
      <c r="N652" t="inlineStr">
        <is>
          <t>AVOID</t>
        </is>
      </c>
    </row>
    <row r="653">
      <c r="A653" t="n">
        <v>652</v>
      </c>
      <c r="B653" t="inlineStr">
        <is>
          <t>CSGP</t>
        </is>
      </c>
      <c r="C653" t="inlineStr">
        <is>
          <t>2026-07-30</t>
        </is>
      </c>
      <c r="D653" t="n">
        <v>29</v>
      </c>
      <c r="E653" t="n">
        <v>52.58</v>
      </c>
      <c r="F653" t="n">
        <v>1.04</v>
      </c>
      <c r="G653" t="n">
        <v>-16.19</v>
      </c>
      <c r="H653" t="n">
        <v>-70.05</v>
      </c>
      <c r="I653" t="n">
        <v>15</v>
      </c>
      <c r="J653" t="n">
        <v>55</v>
      </c>
      <c r="K653" t="n">
        <v>15</v>
      </c>
      <c r="L653" t="b">
        <v>0</v>
      </c>
      <c r="M653" t="b">
        <v>0</v>
      </c>
      <c r="N653" t="inlineStr">
        <is>
          <t>AVOID</t>
        </is>
      </c>
    </row>
    <row r="654">
      <c r="A654" t="n">
        <v>653</v>
      </c>
      <c r="B654" t="inlineStr">
        <is>
          <t>OLLI</t>
        </is>
      </c>
      <c r="C654" t="inlineStr">
        <is>
          <t>2026-07-30</t>
        </is>
      </c>
      <c r="D654" t="n">
        <v>72.20999999999999</v>
      </c>
      <c r="E654" t="n">
        <v>75.29000000000001</v>
      </c>
      <c r="F654" t="n">
        <v>0.36</v>
      </c>
      <c r="G654" t="n">
        <v>-16.53</v>
      </c>
      <c r="H654" t="n">
        <v>-48.71</v>
      </c>
      <c r="I654" t="n">
        <v>15</v>
      </c>
      <c r="J654" t="n">
        <v>0</v>
      </c>
      <c r="K654" t="n">
        <v>15</v>
      </c>
      <c r="L654" t="b">
        <v>0</v>
      </c>
      <c r="M654" t="b">
        <v>0</v>
      </c>
      <c r="N654" t="inlineStr">
        <is>
          <t>AVOID</t>
        </is>
      </c>
    </row>
    <row r="655">
      <c r="A655" t="n">
        <v>654</v>
      </c>
      <c r="B655" t="inlineStr">
        <is>
          <t>ROAD</t>
        </is>
      </c>
      <c r="C655" t="inlineStr">
        <is>
          <t>2026-07-30</t>
        </is>
      </c>
      <c r="D655" t="n">
        <v>102.51</v>
      </c>
      <c r="E655" t="n">
        <v>63.86</v>
      </c>
      <c r="F655" t="n">
        <v>0.32</v>
      </c>
      <c r="G655" t="n">
        <v>-17.1</v>
      </c>
      <c r="H655" t="n">
        <v>-27.03</v>
      </c>
      <c r="I655" t="n">
        <v>15</v>
      </c>
      <c r="J655" t="n">
        <v>40</v>
      </c>
      <c r="K655" t="n">
        <v>15</v>
      </c>
      <c r="L655" t="b">
        <v>0</v>
      </c>
      <c r="M655" t="b">
        <v>0</v>
      </c>
      <c r="N655" t="inlineStr">
        <is>
          <t>AVOID</t>
        </is>
      </c>
    </row>
    <row r="656">
      <c r="A656" t="n">
        <v>655</v>
      </c>
      <c r="B656" t="inlineStr">
        <is>
          <t>HCKT</t>
        </is>
      </c>
      <c r="C656" t="inlineStr">
        <is>
          <t>2026-07-30</t>
        </is>
      </c>
      <c r="D656" t="n">
        <v>10.56</v>
      </c>
      <c r="E656" t="n">
        <v>54.4</v>
      </c>
      <c r="F656" t="n">
        <v>0.49</v>
      </c>
      <c r="G656" t="n">
        <v>-17.25</v>
      </c>
      <c r="H656" t="n">
        <v>-53.36</v>
      </c>
      <c r="I656" t="n">
        <v>15</v>
      </c>
      <c r="J656" t="n">
        <v>40</v>
      </c>
      <c r="K656" t="n">
        <v>15</v>
      </c>
      <c r="L656" t="b">
        <v>0</v>
      </c>
      <c r="M656" t="b">
        <v>0</v>
      </c>
      <c r="N656" t="inlineStr">
        <is>
          <t>AVOID</t>
        </is>
      </c>
    </row>
    <row r="657">
      <c r="A657" t="n">
        <v>656</v>
      </c>
      <c r="B657" t="inlineStr">
        <is>
          <t>LI</t>
        </is>
      </c>
      <c r="C657" t="inlineStr">
        <is>
          <t>2026-07-30</t>
        </is>
      </c>
      <c r="D657" t="n">
        <v>13.36</v>
      </c>
      <c r="E657" t="n">
        <v>65.29000000000001</v>
      </c>
      <c r="F657" t="n">
        <v>0.91</v>
      </c>
      <c r="G657" t="n">
        <v>-25.07</v>
      </c>
      <c r="H657" t="n">
        <v>-49.94</v>
      </c>
      <c r="I657" t="n">
        <v>15</v>
      </c>
      <c r="J657" t="n">
        <v>0</v>
      </c>
      <c r="K657" t="n">
        <v>15</v>
      </c>
      <c r="L657" t="b">
        <v>0</v>
      </c>
      <c r="M657" t="b">
        <v>0</v>
      </c>
      <c r="N657" t="inlineStr">
        <is>
          <t>AVOID</t>
        </is>
      </c>
    </row>
    <row r="658">
      <c r="A658" t="n">
        <v>657</v>
      </c>
      <c r="B658" t="inlineStr">
        <is>
          <t>ONDS</t>
        </is>
      </c>
      <c r="C658" t="inlineStr">
        <is>
          <t>2026-07-30</t>
        </is>
      </c>
      <c r="D658" t="n">
        <v>7.52</v>
      </c>
      <c r="E658" t="n">
        <v>52.42</v>
      </c>
      <c r="F658" t="n">
        <v>0.39</v>
      </c>
      <c r="G658" t="n">
        <v>-25.1</v>
      </c>
      <c r="H658" t="n">
        <v>-46.32</v>
      </c>
      <c r="I658" t="n">
        <v>15</v>
      </c>
      <c r="J658" t="n">
        <v>40</v>
      </c>
      <c r="K658" t="n">
        <v>15</v>
      </c>
      <c r="L658" t="b">
        <v>0</v>
      </c>
      <c r="M658" t="b">
        <v>0</v>
      </c>
      <c r="N658" t="inlineStr">
        <is>
          <t>AVOID</t>
        </is>
      </c>
    </row>
    <row r="659">
      <c r="A659" t="n">
        <v>658</v>
      </c>
      <c r="B659" t="inlineStr">
        <is>
          <t>ZG</t>
        </is>
      </c>
      <c r="C659" t="inlineStr">
        <is>
          <t>2026-07-30</t>
        </is>
      </c>
      <c r="D659" t="n">
        <v>33.35</v>
      </c>
      <c r="E659" t="n">
        <v>55.38</v>
      </c>
      <c r="F659" t="n">
        <v>1.09</v>
      </c>
      <c r="G659" t="n">
        <v>-25.24</v>
      </c>
      <c r="H659" t="n">
        <v>-61.56</v>
      </c>
      <c r="I659" t="n">
        <v>15</v>
      </c>
      <c r="J659" t="n">
        <v>55</v>
      </c>
      <c r="K659" t="n">
        <v>15</v>
      </c>
      <c r="L659" t="b">
        <v>0</v>
      </c>
      <c r="M659" t="b">
        <v>0</v>
      </c>
      <c r="N659" t="inlineStr">
        <is>
          <t>AVOID</t>
        </is>
      </c>
    </row>
    <row r="660">
      <c r="A660" t="n">
        <v>659</v>
      </c>
      <c r="B660" t="inlineStr">
        <is>
          <t>Z</t>
        </is>
      </c>
      <c r="C660" t="inlineStr">
        <is>
          <t>2026-07-30</t>
        </is>
      </c>
      <c r="D660" t="n">
        <v>33.1</v>
      </c>
      <c r="E660" t="n">
        <v>53.68</v>
      </c>
      <c r="F660" t="n">
        <v>0.58</v>
      </c>
      <c r="G660" t="n">
        <v>-25.45</v>
      </c>
      <c r="H660" t="n">
        <v>-63.35</v>
      </c>
      <c r="I660" t="n">
        <v>15</v>
      </c>
      <c r="J660" t="n">
        <v>40</v>
      </c>
      <c r="K660" t="n">
        <v>15</v>
      </c>
      <c r="L660" t="b">
        <v>0</v>
      </c>
      <c r="M660" t="b">
        <v>0</v>
      </c>
      <c r="N660" t="inlineStr">
        <is>
          <t>AVOID</t>
        </is>
      </c>
    </row>
    <row r="661">
      <c r="A661" t="n">
        <v>660</v>
      </c>
      <c r="B661" t="inlineStr">
        <is>
          <t>ALEC</t>
        </is>
      </c>
      <c r="C661" t="inlineStr">
        <is>
          <t>2026-07-30</t>
        </is>
      </c>
      <c r="D661" t="n">
        <v>1.66</v>
      </c>
      <c r="E661" t="n">
        <v>53.37</v>
      </c>
      <c r="F661" t="n">
        <v>0.51</v>
      </c>
      <c r="G661" t="n">
        <v>-29.75</v>
      </c>
      <c r="H661" t="n">
        <v>-49.85</v>
      </c>
      <c r="I661" t="n">
        <v>15</v>
      </c>
      <c r="J661" t="n">
        <v>25</v>
      </c>
      <c r="K661" t="n">
        <v>15</v>
      </c>
      <c r="L661" t="b">
        <v>0</v>
      </c>
      <c r="M661" t="b">
        <v>0</v>
      </c>
      <c r="N661" t="inlineStr">
        <is>
          <t>AVOID</t>
        </is>
      </c>
    </row>
    <row r="662">
      <c r="A662" t="n">
        <v>661</v>
      </c>
      <c r="B662" t="inlineStr">
        <is>
          <t>MSTR</t>
        </is>
      </c>
      <c r="C662" t="inlineStr">
        <is>
          <t>2026-07-30</t>
        </is>
      </c>
      <c r="D662" t="n">
        <v>97.06</v>
      </c>
      <c r="E662" t="n">
        <v>52.64</v>
      </c>
      <c r="F662" t="n">
        <v>0.51</v>
      </c>
      <c r="G662" t="n">
        <v>-41.34</v>
      </c>
      <c r="H662" t="n">
        <v>-75.86</v>
      </c>
      <c r="I662" t="n">
        <v>15</v>
      </c>
      <c r="J662" t="n">
        <v>40</v>
      </c>
      <c r="K662" t="n">
        <v>15</v>
      </c>
      <c r="L662" t="b">
        <v>0</v>
      </c>
      <c r="M662" t="b">
        <v>0</v>
      </c>
      <c r="N662" t="inlineStr">
        <is>
          <t>AVOID</t>
        </is>
      </c>
    </row>
    <row r="663">
      <c r="A663" t="n">
        <v>662</v>
      </c>
      <c r="B663" t="inlineStr">
        <is>
          <t>CCOI</t>
        </is>
      </c>
      <c r="C663" t="inlineStr">
        <is>
          <t>2026-07-30</t>
        </is>
      </c>
      <c r="D663" t="n">
        <v>12.72</v>
      </c>
      <c r="E663" t="n">
        <v>50.73</v>
      </c>
      <c r="F663" t="n">
        <v>0.44</v>
      </c>
      <c r="G663" t="n">
        <v>-43.79</v>
      </c>
      <c r="H663" t="n">
        <v>-72.08</v>
      </c>
      <c r="I663" t="n">
        <v>15</v>
      </c>
      <c r="J663" t="n">
        <v>40</v>
      </c>
      <c r="K663" t="n">
        <v>15</v>
      </c>
      <c r="L663" t="b">
        <v>0</v>
      </c>
      <c r="M663" t="b">
        <v>0</v>
      </c>
      <c r="N663" t="inlineStr">
        <is>
          <t>AVOID</t>
        </is>
      </c>
    </row>
    <row r="664">
      <c r="A664" t="n">
        <v>663</v>
      </c>
      <c r="B664" t="inlineStr">
        <is>
          <t>FULC</t>
        </is>
      </c>
      <c r="C664" t="inlineStr">
        <is>
          <t>2026-07-30</t>
        </is>
      </c>
      <c r="D664" t="n">
        <v>3.7</v>
      </c>
      <c r="E664" t="n">
        <v>63.51</v>
      </c>
      <c r="F664" t="n">
        <v>0.46</v>
      </c>
      <c r="G664" t="n">
        <v>-48.11</v>
      </c>
      <c r="H664" t="n">
        <v>-74.66</v>
      </c>
      <c r="I664" t="n">
        <v>15</v>
      </c>
      <c r="J664" t="n">
        <v>40</v>
      </c>
      <c r="K664" t="n">
        <v>15</v>
      </c>
      <c r="L664" t="b">
        <v>0</v>
      </c>
      <c r="M664" t="b">
        <v>0</v>
      </c>
      <c r="N664" t="inlineStr">
        <is>
          <t>AVOID</t>
        </is>
      </c>
    </row>
    <row r="665">
      <c r="A665" t="n">
        <v>664</v>
      </c>
      <c r="B665" t="inlineStr">
        <is>
          <t>GOSS</t>
        </is>
      </c>
      <c r="C665" t="inlineStr">
        <is>
          <t>2026-07-30</t>
        </is>
      </c>
      <c r="D665" t="n">
        <v>0.17</v>
      </c>
      <c r="E665" t="n">
        <v>50.22</v>
      </c>
      <c r="F665" t="n">
        <v>0.54</v>
      </c>
      <c r="G665" t="n">
        <v>-53.53</v>
      </c>
      <c r="H665" t="n">
        <v>-95.48999999999999</v>
      </c>
      <c r="I665" t="n">
        <v>15</v>
      </c>
      <c r="J665" t="n">
        <v>40</v>
      </c>
      <c r="K665" t="n">
        <v>15</v>
      </c>
      <c r="L665" t="b">
        <v>0</v>
      </c>
      <c r="M665" t="b">
        <v>0</v>
      </c>
      <c r="N665" t="inlineStr">
        <is>
          <t>AVOID</t>
        </is>
      </c>
    </row>
    <row r="666">
      <c r="A666" t="n">
        <v>665</v>
      </c>
      <c r="B666" t="inlineStr">
        <is>
          <t>HRTX</t>
        </is>
      </c>
      <c r="C666" t="inlineStr">
        <is>
          <t>2026-07-30</t>
        </is>
      </c>
      <c r="D666" t="n">
        <v>0.5</v>
      </c>
      <c r="E666" t="n">
        <v>80.52</v>
      </c>
      <c r="F666" t="n">
        <v>0.27</v>
      </c>
      <c r="G666" t="n">
        <v>-58</v>
      </c>
      <c r="H666" t="n">
        <v>-72.61</v>
      </c>
      <c r="I666" t="n">
        <v>15</v>
      </c>
      <c r="J666" t="n">
        <v>0</v>
      </c>
      <c r="K666" t="n">
        <v>15</v>
      </c>
      <c r="L666" t="b">
        <v>0</v>
      </c>
      <c r="M666" t="b">
        <v>0</v>
      </c>
      <c r="N666" t="inlineStr">
        <is>
          <t>AVOID</t>
        </is>
      </c>
    </row>
    <row r="667">
      <c r="A667" t="n">
        <v>666</v>
      </c>
      <c r="B667" t="inlineStr">
        <is>
          <t>VRRM</t>
        </is>
      </c>
      <c r="C667" t="inlineStr">
        <is>
          <t>2026-07-30</t>
        </is>
      </c>
      <c r="D667" t="n">
        <v>5.07</v>
      </c>
      <c r="E667" t="n">
        <v>69.89</v>
      </c>
      <c r="F667" t="n">
        <v>1.05</v>
      </c>
      <c r="G667" t="n">
        <v>-65.84999999999999</v>
      </c>
      <c r="H667" t="n">
        <v>-80.17</v>
      </c>
      <c r="I667" t="n">
        <v>15</v>
      </c>
      <c r="J667" t="n">
        <v>15</v>
      </c>
      <c r="K667" t="n">
        <v>15</v>
      </c>
      <c r="L667" t="b">
        <v>0</v>
      </c>
      <c r="M667" t="b">
        <v>0</v>
      </c>
      <c r="N667" t="inlineStr">
        <is>
          <t>AVOID</t>
        </is>
      </c>
    </row>
    <row r="668">
      <c r="A668" t="n">
        <v>667</v>
      </c>
      <c r="B668" t="inlineStr">
        <is>
          <t>RYAAY</t>
        </is>
      </c>
      <c r="C668" t="inlineStr">
        <is>
          <t>2026-07-30</t>
        </is>
      </c>
      <c r="D668" t="n">
        <v>59.97</v>
      </c>
      <c r="E668" t="n">
        <v>39.02</v>
      </c>
      <c r="F668" t="n">
        <v>0.46</v>
      </c>
      <c r="G668" t="n">
        <v>9.74</v>
      </c>
      <c r="H668" t="n">
        <v>-18.22</v>
      </c>
      <c r="I668" t="n">
        <v>10</v>
      </c>
      <c r="J668" t="n">
        <v>0</v>
      </c>
      <c r="K668" t="n">
        <v>10</v>
      </c>
      <c r="L668" t="b">
        <v>0</v>
      </c>
      <c r="M668" t="b">
        <v>0</v>
      </c>
      <c r="N668" t="inlineStr">
        <is>
          <t>AVOID</t>
        </is>
      </c>
    </row>
    <row r="669">
      <c r="A669" t="n">
        <v>668</v>
      </c>
      <c r="B669" t="inlineStr">
        <is>
          <t>ALDX</t>
        </is>
      </c>
      <c r="C669" t="inlineStr">
        <is>
          <t>2026-07-30</t>
        </is>
      </c>
      <c r="D669" t="n">
        <v>1.61</v>
      </c>
      <c r="E669" t="n">
        <v>20.13</v>
      </c>
      <c r="F669" t="n">
        <v>0.25</v>
      </c>
      <c r="G669" t="n">
        <v>5.92</v>
      </c>
      <c r="H669" t="n">
        <v>-72.67</v>
      </c>
      <c r="I669" t="n">
        <v>10</v>
      </c>
      <c r="J669" t="n">
        <v>0</v>
      </c>
      <c r="K669" t="n">
        <v>10</v>
      </c>
      <c r="L669" t="b">
        <v>0</v>
      </c>
      <c r="M669" t="b">
        <v>0</v>
      </c>
      <c r="N669" t="inlineStr">
        <is>
          <t>AVOID</t>
        </is>
      </c>
    </row>
    <row r="670">
      <c r="A670" t="n">
        <v>669</v>
      </c>
      <c r="B670" t="inlineStr">
        <is>
          <t>SVC</t>
        </is>
      </c>
      <c r="C670" t="inlineStr">
        <is>
          <t>2026-07-30</t>
        </is>
      </c>
      <c r="D670" t="n">
        <v>8.07</v>
      </c>
      <c r="E670" t="n">
        <v>30.39</v>
      </c>
      <c r="F670" t="n">
        <v>0.66</v>
      </c>
      <c r="G670" t="n">
        <v>4.74</v>
      </c>
      <c r="H670" t="n">
        <v>-43.33</v>
      </c>
      <c r="I670" t="n">
        <v>10</v>
      </c>
      <c r="J670" t="n">
        <v>0</v>
      </c>
      <c r="K670" t="n">
        <v>10</v>
      </c>
      <c r="L670" t="b">
        <v>0</v>
      </c>
      <c r="M670" t="b">
        <v>0</v>
      </c>
      <c r="N670" t="inlineStr">
        <is>
          <t>AVOID</t>
        </is>
      </c>
    </row>
    <row r="671">
      <c r="A671" t="n">
        <v>670</v>
      </c>
      <c r="B671" t="inlineStr">
        <is>
          <t>SMCI</t>
        </is>
      </c>
      <c r="C671" t="inlineStr">
        <is>
          <t>2026-07-30</t>
        </is>
      </c>
      <c r="D671" t="n">
        <v>27.88</v>
      </c>
      <c r="E671" t="n">
        <v>48.9</v>
      </c>
      <c r="F671" t="n">
        <v>0.67</v>
      </c>
      <c r="G671" t="n">
        <v>1.75</v>
      </c>
      <c r="H671" t="n">
        <v>-54.08</v>
      </c>
      <c r="I671" t="n">
        <v>10</v>
      </c>
      <c r="J671" t="n">
        <v>40</v>
      </c>
      <c r="K671" t="n">
        <v>10</v>
      </c>
      <c r="L671" t="b">
        <v>0</v>
      </c>
      <c r="M671" t="b">
        <v>0</v>
      </c>
      <c r="N671" t="inlineStr">
        <is>
          <t>AVOID</t>
        </is>
      </c>
    </row>
    <row r="672">
      <c r="A672" t="n">
        <v>671</v>
      </c>
      <c r="B672" t="inlineStr">
        <is>
          <t>LOGI</t>
        </is>
      </c>
      <c r="C672" t="inlineStr">
        <is>
          <t>2026-07-30</t>
        </is>
      </c>
      <c r="D672" t="n">
        <v>100.76</v>
      </c>
      <c r="E672" t="n">
        <v>48.04</v>
      </c>
      <c r="F672" t="n">
        <v>1.18</v>
      </c>
      <c r="G672" t="n">
        <v>1.49</v>
      </c>
      <c r="H672" t="n">
        <v>-20.47</v>
      </c>
      <c r="I672" t="n">
        <v>10</v>
      </c>
      <c r="J672" t="n">
        <v>55</v>
      </c>
      <c r="K672" t="n">
        <v>10</v>
      </c>
      <c r="L672" t="b">
        <v>0</v>
      </c>
      <c r="M672" t="b">
        <v>0</v>
      </c>
      <c r="N672" t="inlineStr">
        <is>
          <t>AVOID</t>
        </is>
      </c>
    </row>
    <row r="673">
      <c r="A673" t="n">
        <v>672</v>
      </c>
      <c r="B673" t="inlineStr">
        <is>
          <t>FSLR</t>
        </is>
      </c>
      <c r="C673" t="inlineStr">
        <is>
          <t>2026-07-30</t>
        </is>
      </c>
      <c r="D673" t="n">
        <v>203.67</v>
      </c>
      <c r="E673" t="n">
        <v>27.1</v>
      </c>
      <c r="F673" t="n">
        <v>0.64</v>
      </c>
      <c r="G673" t="n">
        <v>0.88</v>
      </c>
      <c r="H673" t="n">
        <v>-36</v>
      </c>
      <c r="I673" t="n">
        <v>10</v>
      </c>
      <c r="J673" t="n">
        <v>0</v>
      </c>
      <c r="K673" t="n">
        <v>10</v>
      </c>
      <c r="L673" t="b">
        <v>0</v>
      </c>
      <c r="M673" t="b">
        <v>0</v>
      </c>
      <c r="N673" t="inlineStr">
        <is>
          <t>AVOID</t>
        </is>
      </c>
    </row>
    <row r="674">
      <c r="A674" t="n">
        <v>673</v>
      </c>
      <c r="B674" t="inlineStr">
        <is>
          <t>INTZ</t>
        </is>
      </c>
      <c r="C674" t="inlineStr">
        <is>
          <t>2026-07-30</t>
        </is>
      </c>
      <c r="D674" t="n">
        <v>0.79</v>
      </c>
      <c r="E674" t="n">
        <v>33.33</v>
      </c>
      <c r="F674" t="n">
        <v>0.47</v>
      </c>
      <c r="G674" t="n">
        <v>-1.25</v>
      </c>
      <c r="H674" t="n">
        <v>-61.65</v>
      </c>
      <c r="I674" t="n">
        <v>10</v>
      </c>
      <c r="J674" t="n">
        <v>0</v>
      </c>
      <c r="K674" t="n">
        <v>10</v>
      </c>
      <c r="L674" t="b">
        <v>0</v>
      </c>
      <c r="M674" t="b">
        <v>0</v>
      </c>
      <c r="N674" t="inlineStr">
        <is>
          <t>AVOID</t>
        </is>
      </c>
    </row>
    <row r="675">
      <c r="A675" t="n">
        <v>674</v>
      </c>
      <c r="B675" t="inlineStr">
        <is>
          <t>AUPH</t>
        </is>
      </c>
      <c r="C675" t="inlineStr">
        <is>
          <t>2026-07-30</t>
        </is>
      </c>
      <c r="D675" t="n">
        <v>15.05</v>
      </c>
      <c r="E675" t="n">
        <v>37.63</v>
      </c>
      <c r="F675" t="n">
        <v>0.6</v>
      </c>
      <c r="G675" t="n">
        <v>-2.18</v>
      </c>
      <c r="H675" t="n">
        <v>-19.17</v>
      </c>
      <c r="I675" t="n">
        <v>10</v>
      </c>
      <c r="J675" t="n">
        <v>0</v>
      </c>
      <c r="K675" t="n">
        <v>10</v>
      </c>
      <c r="L675" t="b">
        <v>0</v>
      </c>
      <c r="M675" t="b">
        <v>0</v>
      </c>
      <c r="N675" t="inlineStr">
        <is>
          <t>AVOID</t>
        </is>
      </c>
    </row>
    <row r="676">
      <c r="A676" t="n">
        <v>675</v>
      </c>
      <c r="B676" t="inlineStr">
        <is>
          <t>SONO</t>
        </is>
      </c>
      <c r="C676" t="inlineStr">
        <is>
          <t>2026-07-30</t>
        </is>
      </c>
      <c r="D676" t="n">
        <v>14.37</v>
      </c>
      <c r="E676" t="n">
        <v>49.37</v>
      </c>
      <c r="F676" t="n">
        <v>1.32</v>
      </c>
      <c r="G676" t="n">
        <v>-3.1</v>
      </c>
      <c r="H676" t="n">
        <v>-25</v>
      </c>
      <c r="I676" t="n">
        <v>0</v>
      </c>
      <c r="J676" t="n">
        <v>55</v>
      </c>
      <c r="K676" t="n">
        <v>10</v>
      </c>
      <c r="L676" t="b">
        <v>0</v>
      </c>
      <c r="M676" t="b">
        <v>0</v>
      </c>
      <c r="N676" t="inlineStr">
        <is>
          <t>AVOID</t>
        </is>
      </c>
    </row>
    <row r="677">
      <c r="A677" t="n">
        <v>676</v>
      </c>
      <c r="B677" t="inlineStr">
        <is>
          <t>SEDG</t>
        </is>
      </c>
      <c r="C677" t="inlineStr">
        <is>
          <t>2026-07-30</t>
        </is>
      </c>
      <c r="D677" t="n">
        <v>41.28</v>
      </c>
      <c r="E677" t="n">
        <v>28.1</v>
      </c>
      <c r="F677" t="n">
        <v>0.5</v>
      </c>
      <c r="G677" t="n">
        <v>-3.67</v>
      </c>
      <c r="H677" t="n">
        <v>-47.41</v>
      </c>
      <c r="I677" t="n">
        <v>10</v>
      </c>
      <c r="J677" t="n">
        <v>0</v>
      </c>
      <c r="K677" t="n">
        <v>10</v>
      </c>
      <c r="L677" t="b">
        <v>0</v>
      </c>
      <c r="M677" t="b">
        <v>0</v>
      </c>
      <c r="N677" t="inlineStr">
        <is>
          <t>AVOID</t>
        </is>
      </c>
    </row>
    <row r="678">
      <c r="A678" t="n">
        <v>677</v>
      </c>
      <c r="B678" t="inlineStr">
        <is>
          <t>EGHT</t>
        </is>
      </c>
      <c r="C678" t="inlineStr">
        <is>
          <t>2026-07-30</t>
        </is>
      </c>
      <c r="D678" t="n">
        <v>1.85</v>
      </c>
      <c r="E678" t="n">
        <v>42.81</v>
      </c>
      <c r="F678" t="n">
        <v>0.55</v>
      </c>
      <c r="G678" t="n">
        <v>-3.91</v>
      </c>
      <c r="H678" t="n">
        <v>-33.15</v>
      </c>
      <c r="I678" t="n">
        <v>10</v>
      </c>
      <c r="J678" t="n">
        <v>0</v>
      </c>
      <c r="K678" t="n">
        <v>10</v>
      </c>
      <c r="L678" t="b">
        <v>0</v>
      </c>
      <c r="M678" t="b">
        <v>0</v>
      </c>
      <c r="N678" t="inlineStr">
        <is>
          <t>AVOID</t>
        </is>
      </c>
    </row>
    <row r="679">
      <c r="A679" t="n">
        <v>678</v>
      </c>
      <c r="B679" t="inlineStr">
        <is>
          <t>SUPN</t>
        </is>
      </c>
      <c r="C679" t="inlineStr">
        <is>
          <t>2026-07-30</t>
        </is>
      </c>
      <c r="D679" t="n">
        <v>45.66</v>
      </c>
      <c r="E679" t="n">
        <v>36.49</v>
      </c>
      <c r="F679" t="n">
        <v>0.29</v>
      </c>
      <c r="G679" t="n">
        <v>-4.88</v>
      </c>
      <c r="H679" t="n">
        <v>-19.89</v>
      </c>
      <c r="I679" t="n">
        <v>10</v>
      </c>
      <c r="J679" t="n">
        <v>0</v>
      </c>
      <c r="K679" t="n">
        <v>10</v>
      </c>
      <c r="L679" t="b">
        <v>0</v>
      </c>
      <c r="M679" t="b">
        <v>0</v>
      </c>
      <c r="N679" t="inlineStr">
        <is>
          <t>AVOID</t>
        </is>
      </c>
    </row>
    <row r="680">
      <c r="A680" t="n">
        <v>679</v>
      </c>
      <c r="B680" t="inlineStr">
        <is>
          <t>NVAX</t>
        </is>
      </c>
      <c r="C680" t="inlineStr">
        <is>
          <t>2026-07-30</t>
        </is>
      </c>
      <c r="D680" t="n">
        <v>7.49</v>
      </c>
      <c r="E680" t="n">
        <v>14.72</v>
      </c>
      <c r="F680" t="n">
        <v>0.42</v>
      </c>
      <c r="G680" t="n">
        <v>-5.61</v>
      </c>
      <c r="H680" t="n">
        <v>-33.11</v>
      </c>
      <c r="I680" t="n">
        <v>10</v>
      </c>
      <c r="J680" t="n">
        <v>0</v>
      </c>
      <c r="K680" t="n">
        <v>10</v>
      </c>
      <c r="L680" t="b">
        <v>0</v>
      </c>
      <c r="M680" t="b">
        <v>0</v>
      </c>
      <c r="N680" t="inlineStr">
        <is>
          <t>AVOID</t>
        </is>
      </c>
    </row>
    <row r="681">
      <c r="A681" t="n">
        <v>680</v>
      </c>
      <c r="B681" t="inlineStr">
        <is>
          <t>AAON</t>
        </is>
      </c>
      <c r="C681" t="inlineStr">
        <is>
          <t>2026-07-30</t>
        </is>
      </c>
      <c r="D681" t="n">
        <v>87.81999999999999</v>
      </c>
      <c r="E681" t="n">
        <v>18.55</v>
      </c>
      <c r="F681" t="n">
        <v>0.83</v>
      </c>
      <c r="G681" t="n">
        <v>-5.81</v>
      </c>
      <c r="H681" t="n">
        <v>-40.72</v>
      </c>
      <c r="I681" t="n">
        <v>10</v>
      </c>
      <c r="J681" t="n">
        <v>0</v>
      </c>
      <c r="K681" t="n">
        <v>10</v>
      </c>
      <c r="L681" t="b">
        <v>0</v>
      </c>
      <c r="M681" t="b">
        <v>0</v>
      </c>
      <c r="N681" t="inlineStr">
        <is>
          <t>AVOID</t>
        </is>
      </c>
    </row>
    <row r="682">
      <c r="A682" t="n">
        <v>681</v>
      </c>
      <c r="B682" t="inlineStr">
        <is>
          <t>DFH</t>
        </is>
      </c>
      <c r="C682" t="inlineStr">
        <is>
          <t>2026-07-30</t>
        </is>
      </c>
      <c r="D682" t="n">
        <v>13.73</v>
      </c>
      <c r="E682" t="n">
        <v>37.82</v>
      </c>
      <c r="F682" t="n">
        <v>0.72</v>
      </c>
      <c r="G682" t="n">
        <v>-5.96</v>
      </c>
      <c r="H682" t="n">
        <v>-55.7</v>
      </c>
      <c r="I682" t="n">
        <v>10</v>
      </c>
      <c r="J682" t="n">
        <v>0</v>
      </c>
      <c r="K682" t="n">
        <v>10</v>
      </c>
      <c r="L682" t="b">
        <v>0</v>
      </c>
      <c r="M682" t="b">
        <v>0</v>
      </c>
      <c r="N682" t="inlineStr">
        <is>
          <t>AVOID</t>
        </is>
      </c>
    </row>
    <row r="683">
      <c r="A683" t="n">
        <v>682</v>
      </c>
      <c r="B683" t="inlineStr">
        <is>
          <t>SG</t>
        </is>
      </c>
      <c r="C683" t="inlineStr">
        <is>
          <t>2026-07-30</t>
        </is>
      </c>
      <c r="D683" t="n">
        <v>6.46</v>
      </c>
      <c r="E683" t="n">
        <v>30.29</v>
      </c>
      <c r="F683" t="n">
        <v>0.54</v>
      </c>
      <c r="G683" t="n">
        <v>-6.1</v>
      </c>
      <c r="H683" t="n">
        <v>-51.57</v>
      </c>
      <c r="I683" t="n">
        <v>10</v>
      </c>
      <c r="J683" t="n">
        <v>0</v>
      </c>
      <c r="K683" t="n">
        <v>10</v>
      </c>
      <c r="L683" t="b">
        <v>0</v>
      </c>
      <c r="M683" t="b">
        <v>0</v>
      </c>
      <c r="N683" t="inlineStr">
        <is>
          <t>AVOID</t>
        </is>
      </c>
    </row>
    <row r="684">
      <c r="A684" t="n">
        <v>683</v>
      </c>
      <c r="B684" t="inlineStr">
        <is>
          <t>OLED</t>
        </is>
      </c>
      <c r="C684" t="inlineStr">
        <is>
          <t>2026-07-30</t>
        </is>
      </c>
      <c r="D684" t="n">
        <v>80.44</v>
      </c>
      <c r="E684" t="n">
        <v>48.09</v>
      </c>
      <c r="F684" t="n">
        <v>0.92</v>
      </c>
      <c r="G684" t="n">
        <v>-7.14</v>
      </c>
      <c r="H684" t="n">
        <v>-46.09</v>
      </c>
      <c r="I684" t="n">
        <v>10</v>
      </c>
      <c r="J684" t="n">
        <v>40</v>
      </c>
      <c r="K684" t="n">
        <v>10</v>
      </c>
      <c r="L684" t="b">
        <v>0</v>
      </c>
      <c r="M684" t="b">
        <v>0</v>
      </c>
      <c r="N684" t="inlineStr">
        <is>
          <t>AVOID</t>
        </is>
      </c>
    </row>
    <row r="685">
      <c r="A685" t="n">
        <v>684</v>
      </c>
      <c r="B685" t="inlineStr">
        <is>
          <t>INVA</t>
        </is>
      </c>
      <c r="C685" t="inlineStr">
        <is>
          <t>2026-07-30</t>
        </is>
      </c>
      <c r="D685" t="n">
        <v>21.24</v>
      </c>
      <c r="E685" t="n">
        <v>37.58</v>
      </c>
      <c r="F685" t="n">
        <v>0.32</v>
      </c>
      <c r="G685" t="n">
        <v>-7.63</v>
      </c>
      <c r="H685" t="n">
        <v>-12.4</v>
      </c>
      <c r="I685" t="n">
        <v>10</v>
      </c>
      <c r="J685" t="n">
        <v>15</v>
      </c>
      <c r="K685" t="n">
        <v>10</v>
      </c>
      <c r="L685" t="b">
        <v>0</v>
      </c>
      <c r="M685" t="b">
        <v>0</v>
      </c>
      <c r="N685" t="inlineStr">
        <is>
          <t>AVOID</t>
        </is>
      </c>
    </row>
    <row r="686">
      <c r="A686" t="n">
        <v>685</v>
      </c>
      <c r="B686" t="inlineStr">
        <is>
          <t>RCKT</t>
        </is>
      </c>
      <c r="C686" t="inlineStr">
        <is>
          <t>2026-07-30</t>
        </is>
      </c>
      <c r="D686" t="n">
        <v>3.19</v>
      </c>
      <c r="E686" t="n">
        <v>15.12</v>
      </c>
      <c r="F686" t="n">
        <v>0.41</v>
      </c>
      <c r="G686" t="n">
        <v>-8.19</v>
      </c>
      <c r="H686" t="n">
        <v>-39.72</v>
      </c>
      <c r="I686" t="n">
        <v>10</v>
      </c>
      <c r="J686" t="n">
        <v>0</v>
      </c>
      <c r="K686" t="n">
        <v>10</v>
      </c>
      <c r="L686" t="b">
        <v>0</v>
      </c>
      <c r="M686" t="b">
        <v>0</v>
      </c>
      <c r="N686" t="inlineStr">
        <is>
          <t>AVOID</t>
        </is>
      </c>
    </row>
    <row r="687">
      <c r="A687" t="n">
        <v>686</v>
      </c>
      <c r="B687" t="inlineStr">
        <is>
          <t>SSRM</t>
        </is>
      </c>
      <c r="C687" t="inlineStr">
        <is>
          <t>2026-07-30</t>
        </is>
      </c>
      <c r="D687" t="n">
        <v>26.3</v>
      </c>
      <c r="E687" t="n">
        <v>39.53</v>
      </c>
      <c r="F687" t="n">
        <v>0.72</v>
      </c>
      <c r="G687" t="n">
        <v>-8.73</v>
      </c>
      <c r="H687" t="n">
        <v>-26.43</v>
      </c>
      <c r="I687" t="n">
        <v>10</v>
      </c>
      <c r="J687" t="n">
        <v>0</v>
      </c>
      <c r="K687" t="n">
        <v>10</v>
      </c>
      <c r="L687" t="b">
        <v>0</v>
      </c>
      <c r="M687" t="b">
        <v>0</v>
      </c>
      <c r="N687" t="inlineStr">
        <is>
          <t>AVOID</t>
        </is>
      </c>
    </row>
    <row r="688">
      <c r="A688" t="n">
        <v>687</v>
      </c>
      <c r="B688" t="inlineStr">
        <is>
          <t>LBTYA</t>
        </is>
      </c>
      <c r="C688" t="inlineStr">
        <is>
          <t>2026-07-30</t>
        </is>
      </c>
      <c r="D688" t="n">
        <v>10.52</v>
      </c>
      <c r="E688" t="n">
        <v>48.44</v>
      </c>
      <c r="F688" t="n">
        <v>0.67</v>
      </c>
      <c r="G688" t="n">
        <v>-9.109999999999999</v>
      </c>
      <c r="H688" t="n">
        <v>-19.22</v>
      </c>
      <c r="I688" t="n">
        <v>10</v>
      </c>
      <c r="J688" t="n">
        <v>40</v>
      </c>
      <c r="K688" t="n">
        <v>10</v>
      </c>
      <c r="L688" t="b">
        <v>0</v>
      </c>
      <c r="M688" t="b">
        <v>0</v>
      </c>
      <c r="N688" t="inlineStr">
        <is>
          <t>AVOID</t>
        </is>
      </c>
    </row>
    <row r="689">
      <c r="A689" t="n">
        <v>688</v>
      </c>
      <c r="B689" t="inlineStr">
        <is>
          <t>CRNC</t>
        </is>
      </c>
      <c r="C689" t="inlineStr">
        <is>
          <t>2026-07-30</t>
        </is>
      </c>
      <c r="D689" t="n">
        <v>8.25</v>
      </c>
      <c r="E689" t="n">
        <v>26.58</v>
      </c>
      <c r="F689" t="n">
        <v>0.42</v>
      </c>
      <c r="G689" t="n">
        <v>-9.34</v>
      </c>
      <c r="H689" t="n">
        <v>-38.98</v>
      </c>
      <c r="I689" t="n">
        <v>10</v>
      </c>
      <c r="J689" t="n">
        <v>0</v>
      </c>
      <c r="K689" t="n">
        <v>10</v>
      </c>
      <c r="L689" t="b">
        <v>0</v>
      </c>
      <c r="M689" t="b">
        <v>0</v>
      </c>
      <c r="N689" t="inlineStr">
        <is>
          <t>AVOID</t>
        </is>
      </c>
    </row>
    <row r="690">
      <c r="A690" t="n">
        <v>689</v>
      </c>
      <c r="B690" t="inlineStr">
        <is>
          <t>LBTYK</t>
        </is>
      </c>
      <c r="C690" t="inlineStr">
        <is>
          <t>2026-07-30</t>
        </is>
      </c>
      <c r="D690" t="n">
        <v>10.25</v>
      </c>
      <c r="E690" t="n">
        <v>49.59</v>
      </c>
      <c r="F690" t="n">
        <v>0.79</v>
      </c>
      <c r="G690" t="n">
        <v>-9.609999999999999</v>
      </c>
      <c r="H690" t="n">
        <v>-19.1</v>
      </c>
      <c r="I690" t="n">
        <v>10</v>
      </c>
      <c r="J690" t="n">
        <v>40</v>
      </c>
      <c r="K690" t="n">
        <v>10</v>
      </c>
      <c r="L690" t="b">
        <v>0</v>
      </c>
      <c r="M690" t="b">
        <v>0</v>
      </c>
      <c r="N690" t="inlineStr">
        <is>
          <t>AVOID</t>
        </is>
      </c>
    </row>
    <row r="691">
      <c r="A691" t="n">
        <v>690</v>
      </c>
      <c r="B691" t="inlineStr">
        <is>
          <t>STAA</t>
        </is>
      </c>
      <c r="C691" t="inlineStr">
        <is>
          <t>2026-07-30</t>
        </is>
      </c>
      <c r="D691" t="n">
        <v>23.83</v>
      </c>
      <c r="E691" t="n">
        <v>32.36</v>
      </c>
      <c r="F691" t="n">
        <v>0.45</v>
      </c>
      <c r="G691" t="n">
        <v>-9.619999999999999</v>
      </c>
      <c r="H691" t="n">
        <v>-28.54</v>
      </c>
      <c r="I691" t="n">
        <v>10</v>
      </c>
      <c r="J691" t="n">
        <v>0</v>
      </c>
      <c r="K691" t="n">
        <v>10</v>
      </c>
      <c r="L691" t="b">
        <v>0</v>
      </c>
      <c r="M691" t="b">
        <v>0</v>
      </c>
      <c r="N691" t="inlineStr">
        <is>
          <t>AVOID</t>
        </is>
      </c>
    </row>
    <row r="692">
      <c r="A692" t="n">
        <v>691</v>
      </c>
      <c r="B692" t="inlineStr">
        <is>
          <t>OCUL</t>
        </is>
      </c>
      <c r="C692" t="inlineStr">
        <is>
          <t>2026-07-30</t>
        </is>
      </c>
      <c r="D692" t="n">
        <v>8.460000000000001</v>
      </c>
      <c r="E692" t="n">
        <v>23.15</v>
      </c>
      <c r="F692" t="n">
        <v>0.92</v>
      </c>
      <c r="G692" t="n">
        <v>-9.710000000000001</v>
      </c>
      <c r="H692" t="n">
        <v>-47.49</v>
      </c>
      <c r="I692" t="n">
        <v>10</v>
      </c>
      <c r="J692" t="n">
        <v>0</v>
      </c>
      <c r="K692" t="n">
        <v>10</v>
      </c>
      <c r="L692" t="b">
        <v>0</v>
      </c>
      <c r="M692" t="b">
        <v>0</v>
      </c>
      <c r="N692" t="inlineStr">
        <is>
          <t>AVOID</t>
        </is>
      </c>
    </row>
    <row r="693">
      <c r="A693" t="n">
        <v>692</v>
      </c>
      <c r="B693" t="inlineStr">
        <is>
          <t>PACB</t>
        </is>
      </c>
      <c r="C693" t="inlineStr">
        <is>
          <t>2026-07-30</t>
        </is>
      </c>
      <c r="D693" t="n">
        <v>1.43</v>
      </c>
      <c r="E693" t="n">
        <v>36.84</v>
      </c>
      <c r="F693" t="n">
        <v>0.31</v>
      </c>
      <c r="G693" t="n">
        <v>-9.75</v>
      </c>
      <c r="H693" t="n">
        <v>-46.25</v>
      </c>
      <c r="I693" t="n">
        <v>10</v>
      </c>
      <c r="J693" t="n">
        <v>15</v>
      </c>
      <c r="K693" t="n">
        <v>10</v>
      </c>
      <c r="L693" t="b">
        <v>0</v>
      </c>
      <c r="M693" t="b">
        <v>0</v>
      </c>
      <c r="N693" t="inlineStr">
        <is>
          <t>AVOID</t>
        </is>
      </c>
    </row>
    <row r="694">
      <c r="A694" t="n">
        <v>693</v>
      </c>
      <c r="B694" t="inlineStr">
        <is>
          <t>CABA</t>
        </is>
      </c>
      <c r="C694" t="inlineStr">
        <is>
          <t>2026-07-30</t>
        </is>
      </c>
      <c r="D694" t="n">
        <v>2.69</v>
      </c>
      <c r="E694" t="n">
        <v>38.03</v>
      </c>
      <c r="F694" t="n">
        <v>0.23</v>
      </c>
      <c r="G694" t="n">
        <v>-9.869999999999999</v>
      </c>
      <c r="H694" t="n">
        <v>-35.06</v>
      </c>
      <c r="I694" t="n">
        <v>10</v>
      </c>
      <c r="J694" t="n">
        <v>0</v>
      </c>
      <c r="K694" t="n">
        <v>10</v>
      </c>
      <c r="L694" t="b">
        <v>0</v>
      </c>
      <c r="M694" t="b">
        <v>0</v>
      </c>
      <c r="N694" t="inlineStr">
        <is>
          <t>AVOID</t>
        </is>
      </c>
    </row>
    <row r="695">
      <c r="A695" t="n">
        <v>694</v>
      </c>
      <c r="B695" t="inlineStr">
        <is>
          <t>SBGI</t>
        </is>
      </c>
      <c r="C695" t="inlineStr">
        <is>
          <t>2026-07-30</t>
        </is>
      </c>
      <c r="D695" t="n">
        <v>13.74</v>
      </c>
      <c r="E695" t="n">
        <v>43.56</v>
      </c>
      <c r="F695" t="n">
        <v>0.47</v>
      </c>
      <c r="G695" t="n">
        <v>-10.02</v>
      </c>
      <c r="H695" t="n">
        <v>-17.11</v>
      </c>
      <c r="I695" t="n">
        <v>10</v>
      </c>
      <c r="J695" t="n">
        <v>15</v>
      </c>
      <c r="K695" t="n">
        <v>10</v>
      </c>
      <c r="L695" t="b">
        <v>0</v>
      </c>
      <c r="M695" t="b">
        <v>0</v>
      </c>
      <c r="N695" t="inlineStr">
        <is>
          <t>AVOID</t>
        </is>
      </c>
    </row>
    <row r="696">
      <c r="A696" t="n">
        <v>695</v>
      </c>
      <c r="B696" t="inlineStr">
        <is>
          <t>TMUS</t>
        </is>
      </c>
      <c r="C696" t="inlineStr">
        <is>
          <t>2026-07-30</t>
        </is>
      </c>
      <c r="D696" t="n">
        <v>174.86</v>
      </c>
      <c r="E696" t="n">
        <v>39.76</v>
      </c>
      <c r="F696" t="n">
        <v>0.71</v>
      </c>
      <c r="G696" t="n">
        <v>-10.07</v>
      </c>
      <c r="H696" t="n">
        <v>-31.22</v>
      </c>
      <c r="I696" t="n">
        <v>10</v>
      </c>
      <c r="J696" t="n">
        <v>0</v>
      </c>
      <c r="K696" t="n">
        <v>10</v>
      </c>
      <c r="L696" t="b">
        <v>0</v>
      </c>
      <c r="M696" t="b">
        <v>0</v>
      </c>
      <c r="N696" t="inlineStr">
        <is>
          <t>AVOID</t>
        </is>
      </c>
    </row>
    <row r="697">
      <c r="A697" t="n">
        <v>696</v>
      </c>
      <c r="B697" t="inlineStr">
        <is>
          <t>POOL</t>
        </is>
      </c>
      <c r="C697" t="inlineStr">
        <is>
          <t>2026-07-30</t>
        </is>
      </c>
      <c r="D697" t="n">
        <v>187.73</v>
      </c>
      <c r="E697" t="n">
        <v>29.28</v>
      </c>
      <c r="F697" t="n">
        <v>0.55</v>
      </c>
      <c r="G697" t="n">
        <v>-11.34</v>
      </c>
      <c r="H697" t="n">
        <v>-42.69</v>
      </c>
      <c r="I697" t="n">
        <v>10</v>
      </c>
      <c r="J697" t="n">
        <v>0</v>
      </c>
      <c r="K697" t="n">
        <v>10</v>
      </c>
      <c r="L697" t="b">
        <v>0</v>
      </c>
      <c r="M697" t="b">
        <v>0</v>
      </c>
      <c r="N697" t="inlineStr">
        <is>
          <t>AVOID</t>
        </is>
      </c>
    </row>
    <row r="698">
      <c r="A698" t="n">
        <v>697</v>
      </c>
      <c r="B698" t="inlineStr">
        <is>
          <t>LAND</t>
        </is>
      </c>
      <c r="C698" t="inlineStr">
        <is>
          <t>2026-07-30</t>
        </is>
      </c>
      <c r="D698" t="n">
        <v>8.300000000000001</v>
      </c>
      <c r="E698" t="n">
        <v>41.35</v>
      </c>
      <c r="F698" t="n">
        <v>1.28</v>
      </c>
      <c r="G698" t="n">
        <v>-12.06</v>
      </c>
      <c r="H698" t="n">
        <v>-31.91</v>
      </c>
      <c r="I698" t="n">
        <v>0</v>
      </c>
      <c r="J698" t="n">
        <v>15</v>
      </c>
      <c r="K698" t="n">
        <v>10</v>
      </c>
      <c r="L698" t="b">
        <v>0</v>
      </c>
      <c r="M698" t="b">
        <v>0</v>
      </c>
      <c r="N698" t="inlineStr">
        <is>
          <t>AVOID</t>
        </is>
      </c>
    </row>
    <row r="699">
      <c r="A699" t="n">
        <v>698</v>
      </c>
      <c r="B699" t="inlineStr">
        <is>
          <t>CELH</t>
        </is>
      </c>
      <c r="C699" t="inlineStr">
        <is>
          <t>2026-07-30</t>
        </is>
      </c>
      <c r="D699" t="n">
        <v>29.12</v>
      </c>
      <c r="E699" t="n">
        <v>41.9</v>
      </c>
      <c r="F699" t="n">
        <v>0.38</v>
      </c>
      <c r="G699" t="n">
        <v>-13.26</v>
      </c>
      <c r="H699" t="n">
        <v>-55.1</v>
      </c>
      <c r="I699" t="n">
        <v>10</v>
      </c>
      <c r="J699" t="n">
        <v>15</v>
      </c>
      <c r="K699" t="n">
        <v>10</v>
      </c>
      <c r="L699" t="b">
        <v>0</v>
      </c>
      <c r="M699" t="b">
        <v>0</v>
      </c>
      <c r="N699" t="inlineStr">
        <is>
          <t>AVOID</t>
        </is>
      </c>
    </row>
    <row r="700">
      <c r="A700" t="n">
        <v>699</v>
      </c>
      <c r="B700" t="inlineStr">
        <is>
          <t>LULU</t>
        </is>
      </c>
      <c r="C700" t="inlineStr">
        <is>
          <t>2026-07-30</t>
        </is>
      </c>
      <c r="D700" t="n">
        <v>118.6</v>
      </c>
      <c r="E700" t="n">
        <v>48.71</v>
      </c>
      <c r="F700" t="n">
        <v>0.5</v>
      </c>
      <c r="G700" t="n">
        <v>-13.87</v>
      </c>
      <c r="H700" t="n">
        <v>-45.06</v>
      </c>
      <c r="I700" t="n">
        <v>10</v>
      </c>
      <c r="J700" t="n">
        <v>40</v>
      </c>
      <c r="K700" t="n">
        <v>10</v>
      </c>
      <c r="L700" t="b">
        <v>0</v>
      </c>
      <c r="M700" t="b">
        <v>0</v>
      </c>
      <c r="N700" t="inlineStr">
        <is>
          <t>AVOID</t>
        </is>
      </c>
    </row>
    <row r="701">
      <c r="A701" t="n">
        <v>700</v>
      </c>
      <c r="B701" t="inlineStr">
        <is>
          <t>PAX</t>
        </is>
      </c>
      <c r="C701" t="inlineStr">
        <is>
          <t>2026-07-30</t>
        </is>
      </c>
      <c r="D701" t="n">
        <v>10.94</v>
      </c>
      <c r="E701" t="n">
        <v>47.37</v>
      </c>
      <c r="F701" t="n">
        <v>1.24</v>
      </c>
      <c r="G701" t="n">
        <v>-13.99</v>
      </c>
      <c r="H701" t="n">
        <v>-36.19</v>
      </c>
      <c r="I701" t="n">
        <v>0</v>
      </c>
      <c r="J701" t="n">
        <v>55</v>
      </c>
      <c r="K701" t="n">
        <v>10</v>
      </c>
      <c r="L701" t="b">
        <v>0</v>
      </c>
      <c r="M701" t="b">
        <v>0</v>
      </c>
      <c r="N701" t="inlineStr">
        <is>
          <t>AVOID</t>
        </is>
      </c>
    </row>
    <row r="702">
      <c r="A702" t="n">
        <v>701</v>
      </c>
      <c r="B702" t="inlineStr">
        <is>
          <t>BEAM</t>
        </is>
      </c>
      <c r="C702" t="inlineStr">
        <is>
          <t>2026-07-30</t>
        </is>
      </c>
      <c r="D702" t="n">
        <v>25.82</v>
      </c>
      <c r="E702" t="n">
        <v>19.42</v>
      </c>
      <c r="F702" t="n">
        <v>0.36</v>
      </c>
      <c r="G702" t="n">
        <v>-14.89</v>
      </c>
      <c r="H702" t="n">
        <v>-31.92</v>
      </c>
      <c r="I702" t="n">
        <v>10</v>
      </c>
      <c r="J702" t="n">
        <v>0</v>
      </c>
      <c r="K702" t="n">
        <v>10</v>
      </c>
      <c r="L702" t="b">
        <v>0</v>
      </c>
      <c r="M702" t="b">
        <v>0</v>
      </c>
      <c r="N702" t="inlineStr">
        <is>
          <t>AVOID</t>
        </is>
      </c>
    </row>
    <row r="703">
      <c r="A703" t="n">
        <v>702</v>
      </c>
      <c r="B703" t="inlineStr">
        <is>
          <t>CAR</t>
        </is>
      </c>
      <c r="C703" t="inlineStr">
        <is>
          <t>2026-07-30</t>
        </is>
      </c>
      <c r="D703" t="n">
        <v>153.71</v>
      </c>
      <c r="E703" t="n">
        <v>47.26</v>
      </c>
      <c r="F703" t="n">
        <v>0.74</v>
      </c>
      <c r="G703" t="n">
        <v>-14.92</v>
      </c>
      <c r="H703" t="n">
        <v>-78.47</v>
      </c>
      <c r="I703" t="n">
        <v>10</v>
      </c>
      <c r="J703" t="n">
        <v>25</v>
      </c>
      <c r="K703" t="n">
        <v>10</v>
      </c>
      <c r="L703" t="b">
        <v>0</v>
      </c>
      <c r="M703" t="b">
        <v>0</v>
      </c>
      <c r="N703" t="inlineStr">
        <is>
          <t>AVOID</t>
        </is>
      </c>
    </row>
    <row r="704">
      <c r="A704" t="n">
        <v>703</v>
      </c>
      <c r="B704" t="inlineStr">
        <is>
          <t>NMFC</t>
        </is>
      </c>
      <c r="C704" t="inlineStr">
        <is>
          <t>2026-07-30</t>
        </is>
      </c>
      <c r="D704" t="n">
        <v>6.95</v>
      </c>
      <c r="E704" t="n">
        <v>44.77</v>
      </c>
      <c r="F704" t="n">
        <v>1.3</v>
      </c>
      <c r="G704" t="n">
        <v>-15.98</v>
      </c>
      <c r="H704" t="n">
        <v>-24.95</v>
      </c>
      <c r="I704" t="n">
        <v>0</v>
      </c>
      <c r="J704" t="n">
        <v>30</v>
      </c>
      <c r="K704" t="n">
        <v>10</v>
      </c>
      <c r="L704" t="b">
        <v>0</v>
      </c>
      <c r="M704" t="b">
        <v>0</v>
      </c>
      <c r="N704" t="inlineStr">
        <is>
          <t>AVOID</t>
        </is>
      </c>
    </row>
    <row r="705">
      <c r="A705" t="n">
        <v>704</v>
      </c>
      <c r="B705" t="inlineStr">
        <is>
          <t>CLNE</t>
        </is>
      </c>
      <c r="C705" t="inlineStr">
        <is>
          <t>2026-07-30</t>
        </is>
      </c>
      <c r="D705" t="n">
        <v>1.93</v>
      </c>
      <c r="E705" t="n">
        <v>31.94</v>
      </c>
      <c r="F705" t="n">
        <v>0.32</v>
      </c>
      <c r="G705" t="n">
        <v>-16.09</v>
      </c>
      <c r="H705" t="n">
        <v>-36.93</v>
      </c>
      <c r="I705" t="n">
        <v>10</v>
      </c>
      <c r="J705" t="n">
        <v>0</v>
      </c>
      <c r="K705" t="n">
        <v>10</v>
      </c>
      <c r="L705" t="b">
        <v>0</v>
      </c>
      <c r="M705" t="b">
        <v>0</v>
      </c>
      <c r="N705" t="inlineStr">
        <is>
          <t>AVOID</t>
        </is>
      </c>
    </row>
    <row r="706">
      <c r="A706" t="n">
        <v>705</v>
      </c>
      <c r="B706" t="inlineStr">
        <is>
          <t>ZLAB</t>
        </is>
      </c>
      <c r="C706" t="inlineStr">
        <is>
          <t>2026-07-30</t>
        </is>
      </c>
      <c r="D706" t="n">
        <v>18.14</v>
      </c>
      <c r="E706" t="n">
        <v>30.19</v>
      </c>
      <c r="F706" t="n">
        <v>0.22</v>
      </c>
      <c r="G706" t="n">
        <v>-16.17</v>
      </c>
      <c r="H706" t="n">
        <v>-54.09</v>
      </c>
      <c r="I706" t="n">
        <v>10</v>
      </c>
      <c r="J706" t="n">
        <v>0</v>
      </c>
      <c r="K706" t="n">
        <v>10</v>
      </c>
      <c r="L706" t="b">
        <v>0</v>
      </c>
      <c r="M706" t="b">
        <v>0</v>
      </c>
      <c r="N706" t="inlineStr">
        <is>
          <t>AVOID</t>
        </is>
      </c>
    </row>
    <row r="707">
      <c r="A707" t="n">
        <v>706</v>
      </c>
      <c r="B707" t="inlineStr">
        <is>
          <t>ENTG</t>
        </is>
      </c>
      <c r="C707" t="inlineStr">
        <is>
          <t>2026-07-30</t>
        </is>
      </c>
      <c r="D707" t="n">
        <v>118.33</v>
      </c>
      <c r="E707" t="n">
        <v>33.03</v>
      </c>
      <c r="F707" t="n">
        <v>0.61</v>
      </c>
      <c r="G707" t="n">
        <v>-16.23</v>
      </c>
      <c r="H707" t="n">
        <v>-35.64</v>
      </c>
      <c r="I707" t="n">
        <v>10</v>
      </c>
      <c r="J707" t="n">
        <v>0</v>
      </c>
      <c r="K707" t="n">
        <v>10</v>
      </c>
      <c r="L707" t="b">
        <v>0</v>
      </c>
      <c r="M707" t="b">
        <v>0</v>
      </c>
      <c r="N707" t="inlineStr">
        <is>
          <t>AVOID</t>
        </is>
      </c>
    </row>
    <row r="708">
      <c r="A708" t="n">
        <v>707</v>
      </c>
      <c r="B708" t="inlineStr">
        <is>
          <t>PAAS</t>
        </is>
      </c>
      <c r="C708" t="inlineStr">
        <is>
          <t>2026-07-30</t>
        </is>
      </c>
      <c r="D708" t="n">
        <v>43.65</v>
      </c>
      <c r="E708" t="n">
        <v>49.93</v>
      </c>
      <c r="F708" t="n">
        <v>0.63</v>
      </c>
      <c r="G708" t="n">
        <v>-16.24</v>
      </c>
      <c r="H708" t="n">
        <v>-36.08</v>
      </c>
      <c r="I708" t="n">
        <v>10</v>
      </c>
      <c r="J708" t="n">
        <v>40</v>
      </c>
      <c r="K708" t="n">
        <v>10</v>
      </c>
      <c r="L708" t="b">
        <v>0</v>
      </c>
      <c r="M708" t="b">
        <v>0</v>
      </c>
      <c r="N708" t="inlineStr">
        <is>
          <t>AVOID</t>
        </is>
      </c>
    </row>
    <row r="709">
      <c r="A709" t="n">
        <v>708</v>
      </c>
      <c r="B709" t="inlineStr">
        <is>
          <t>BLDR</t>
        </is>
      </c>
      <c r="C709" t="inlineStr">
        <is>
          <t>2026-07-30</t>
        </is>
      </c>
      <c r="D709" t="n">
        <v>65.72</v>
      </c>
      <c r="E709" t="n">
        <v>32.49</v>
      </c>
      <c r="F709" t="n">
        <v>1.2</v>
      </c>
      <c r="G709" t="n">
        <v>-16.9</v>
      </c>
      <c r="H709" t="n">
        <v>-55.95</v>
      </c>
      <c r="I709" t="n">
        <v>0</v>
      </c>
      <c r="J709" t="n">
        <v>15</v>
      </c>
      <c r="K709" t="n">
        <v>10</v>
      </c>
      <c r="L709" t="b">
        <v>0</v>
      </c>
      <c r="M709" t="b">
        <v>0</v>
      </c>
      <c r="N709" t="inlineStr">
        <is>
          <t>AVOID</t>
        </is>
      </c>
    </row>
    <row r="710">
      <c r="A710" t="n">
        <v>709</v>
      </c>
      <c r="B710" t="inlineStr">
        <is>
          <t>ERIC</t>
        </is>
      </c>
      <c r="C710" t="inlineStr">
        <is>
          <t>2026-07-30</t>
        </is>
      </c>
      <c r="D710" t="n">
        <v>9.77</v>
      </c>
      <c r="E710" t="n">
        <v>28.34</v>
      </c>
      <c r="F710" t="n">
        <v>0.42</v>
      </c>
      <c r="G710" t="n">
        <v>-17.23</v>
      </c>
      <c r="H710" t="n">
        <v>-28.86</v>
      </c>
      <c r="I710" t="n">
        <v>10</v>
      </c>
      <c r="J710" t="n">
        <v>0</v>
      </c>
      <c r="K710" t="n">
        <v>10</v>
      </c>
      <c r="L710" t="b">
        <v>0</v>
      </c>
      <c r="M710" t="b">
        <v>0</v>
      </c>
      <c r="N710" t="inlineStr">
        <is>
          <t>AVOID</t>
        </is>
      </c>
    </row>
    <row r="711">
      <c r="A711" t="n">
        <v>710</v>
      </c>
      <c r="B711" t="inlineStr">
        <is>
          <t>SBAC</t>
        </is>
      </c>
      <c r="C711" t="inlineStr">
        <is>
          <t>2026-07-30</t>
        </is>
      </c>
      <c r="D711" t="n">
        <v>181.95</v>
      </c>
      <c r="E711" t="n">
        <v>39.75</v>
      </c>
      <c r="F711" t="n">
        <v>0.8100000000000001</v>
      </c>
      <c r="G711" t="n">
        <v>-17.25</v>
      </c>
      <c r="H711" t="n">
        <v>-19.17</v>
      </c>
      <c r="I711" t="n">
        <v>10</v>
      </c>
      <c r="J711" t="n">
        <v>15</v>
      </c>
      <c r="K711" t="n">
        <v>10</v>
      </c>
      <c r="L711" t="b">
        <v>0</v>
      </c>
      <c r="M711" t="b">
        <v>0</v>
      </c>
      <c r="N711" t="inlineStr">
        <is>
          <t>AVOID</t>
        </is>
      </c>
    </row>
    <row r="712">
      <c r="A712" t="n">
        <v>711</v>
      </c>
      <c r="B712" t="inlineStr">
        <is>
          <t>SLRC</t>
        </is>
      </c>
      <c r="C712" t="inlineStr">
        <is>
          <t>2026-07-30</t>
        </is>
      </c>
      <c r="D712" t="n">
        <v>12.73</v>
      </c>
      <c r="E712" t="n">
        <v>42.98</v>
      </c>
      <c r="F712" t="n">
        <v>0.33</v>
      </c>
      <c r="G712" t="n">
        <v>-17.48</v>
      </c>
      <c r="H712" t="n">
        <v>-19.17</v>
      </c>
      <c r="I712" t="n">
        <v>10</v>
      </c>
      <c r="J712" t="n">
        <v>15</v>
      </c>
      <c r="K712" t="n">
        <v>10</v>
      </c>
      <c r="L712" t="b">
        <v>0</v>
      </c>
      <c r="M712" t="b">
        <v>0</v>
      </c>
      <c r="N712" t="inlineStr">
        <is>
          <t>AVOID</t>
        </is>
      </c>
    </row>
    <row r="713">
      <c r="A713" t="n">
        <v>712</v>
      </c>
      <c r="B713" t="inlineStr">
        <is>
          <t>KPTI</t>
        </is>
      </c>
      <c r="C713" t="inlineStr">
        <is>
          <t>2026-07-30</t>
        </is>
      </c>
      <c r="D713" t="n">
        <v>6.84</v>
      </c>
      <c r="E713" t="n">
        <v>16.3</v>
      </c>
      <c r="F713" t="n">
        <v>0.5600000000000001</v>
      </c>
      <c r="G713" t="n">
        <v>-17.63</v>
      </c>
      <c r="H713" t="n">
        <v>-35.85</v>
      </c>
      <c r="I713" t="n">
        <v>10</v>
      </c>
      <c r="J713" t="n">
        <v>0</v>
      </c>
      <c r="K713" t="n">
        <v>10</v>
      </c>
      <c r="L713" t="b">
        <v>0</v>
      </c>
      <c r="M713" t="b">
        <v>0</v>
      </c>
      <c r="N713" t="inlineStr">
        <is>
          <t>AVOID</t>
        </is>
      </c>
    </row>
    <row r="714">
      <c r="A714" t="n">
        <v>713</v>
      </c>
      <c r="B714" t="inlineStr">
        <is>
          <t>CRUS</t>
        </is>
      </c>
      <c r="C714" t="inlineStr">
        <is>
          <t>2026-07-30</t>
        </is>
      </c>
      <c r="D714" t="n">
        <v>132.74</v>
      </c>
      <c r="E714" t="n">
        <v>23.88</v>
      </c>
      <c r="F714" t="n">
        <v>0.45</v>
      </c>
      <c r="G714" t="n">
        <v>-18.6</v>
      </c>
      <c r="H714" t="n">
        <v>-25.8</v>
      </c>
      <c r="I714" t="n">
        <v>10</v>
      </c>
      <c r="J714" t="n">
        <v>0</v>
      </c>
      <c r="K714" t="n">
        <v>10</v>
      </c>
      <c r="L714" t="b">
        <v>0</v>
      </c>
      <c r="M714" t="b">
        <v>0</v>
      </c>
      <c r="N714" t="inlineStr">
        <is>
          <t>AVOID</t>
        </is>
      </c>
    </row>
    <row r="715">
      <c r="A715" t="n">
        <v>714</v>
      </c>
      <c r="B715" t="inlineStr">
        <is>
          <t>NTLA</t>
        </is>
      </c>
      <c r="C715" t="inlineStr">
        <is>
          <t>2026-07-30</t>
        </is>
      </c>
      <c r="D715" t="n">
        <v>10.94</v>
      </c>
      <c r="E715" t="n">
        <v>21.11</v>
      </c>
      <c r="F715" t="n">
        <v>0.41</v>
      </c>
      <c r="G715" t="n">
        <v>-18.81</v>
      </c>
      <c r="H715" t="n">
        <v>-60.88</v>
      </c>
      <c r="I715" t="n">
        <v>10</v>
      </c>
      <c r="J715" t="n">
        <v>0</v>
      </c>
      <c r="K715" t="n">
        <v>10</v>
      </c>
      <c r="L715" t="b">
        <v>0</v>
      </c>
      <c r="M715" t="b">
        <v>0</v>
      </c>
      <c r="N715" t="inlineStr">
        <is>
          <t>AVOID</t>
        </is>
      </c>
    </row>
    <row r="716">
      <c r="A716" t="n">
        <v>715</v>
      </c>
      <c r="B716" t="inlineStr">
        <is>
          <t>BLDP</t>
        </is>
      </c>
      <c r="C716" t="inlineStr">
        <is>
          <t>2026-07-30</t>
        </is>
      </c>
      <c r="D716" t="n">
        <v>2.76</v>
      </c>
      <c r="E716" t="n">
        <v>40.52</v>
      </c>
      <c r="F716" t="n">
        <v>0.5</v>
      </c>
      <c r="G716" t="n">
        <v>-18.97</v>
      </c>
      <c r="H716" t="n">
        <v>-56.82</v>
      </c>
      <c r="I716" t="n">
        <v>10</v>
      </c>
      <c r="J716" t="n">
        <v>0</v>
      </c>
      <c r="K716" t="n">
        <v>10</v>
      </c>
      <c r="L716" t="b">
        <v>0</v>
      </c>
      <c r="M716" t="b">
        <v>0</v>
      </c>
      <c r="N716" t="inlineStr">
        <is>
          <t>AVOID</t>
        </is>
      </c>
    </row>
    <row r="717">
      <c r="A717" t="n">
        <v>716</v>
      </c>
      <c r="B717" t="inlineStr">
        <is>
          <t>VUZI</t>
        </is>
      </c>
      <c r="C717" t="inlineStr">
        <is>
          <t>2026-07-30</t>
        </is>
      </c>
      <c r="D717" t="n">
        <v>2.33</v>
      </c>
      <c r="E717" t="n">
        <v>42.98</v>
      </c>
      <c r="F717" t="n">
        <v>0.7</v>
      </c>
      <c r="G717" t="n">
        <v>-19.1</v>
      </c>
      <c r="H717" t="n">
        <v>-54.67</v>
      </c>
      <c r="I717" t="n">
        <v>10</v>
      </c>
      <c r="J717" t="n">
        <v>15</v>
      </c>
      <c r="K717" t="n">
        <v>10</v>
      </c>
      <c r="L717" t="b">
        <v>0</v>
      </c>
      <c r="M717" t="b">
        <v>0</v>
      </c>
      <c r="N717" t="inlineStr">
        <is>
          <t>AVOID</t>
        </is>
      </c>
    </row>
    <row r="718">
      <c r="A718" t="n">
        <v>717</v>
      </c>
      <c r="B718" t="inlineStr">
        <is>
          <t>LEGN</t>
        </is>
      </c>
      <c r="C718" t="inlineStr">
        <is>
          <t>2026-07-30</t>
        </is>
      </c>
      <c r="D718" t="n">
        <v>18.97</v>
      </c>
      <c r="E718" t="n">
        <v>12.83</v>
      </c>
      <c r="F718" t="n">
        <v>0.6899999999999999</v>
      </c>
      <c r="G718" t="n">
        <v>-19.35</v>
      </c>
      <c r="H718" t="n">
        <v>-53.06</v>
      </c>
      <c r="I718" t="n">
        <v>10</v>
      </c>
      <c r="J718" t="n">
        <v>0</v>
      </c>
      <c r="K718" t="n">
        <v>10</v>
      </c>
      <c r="L718" t="b">
        <v>0</v>
      </c>
      <c r="M718" t="b">
        <v>0</v>
      </c>
      <c r="N718" t="inlineStr">
        <is>
          <t>AVOID</t>
        </is>
      </c>
    </row>
    <row r="719">
      <c r="A719" t="n">
        <v>718</v>
      </c>
      <c r="B719" t="inlineStr">
        <is>
          <t>OLMA</t>
        </is>
      </c>
      <c r="C719" t="inlineStr">
        <is>
          <t>2026-07-30</t>
        </is>
      </c>
      <c r="D719" t="n">
        <v>11.52</v>
      </c>
      <c r="E719" t="n">
        <v>44.27</v>
      </c>
      <c r="F719" t="n">
        <v>0.31</v>
      </c>
      <c r="G719" t="n">
        <v>-20.09</v>
      </c>
      <c r="H719" t="n">
        <v>-67.86</v>
      </c>
      <c r="I719" t="n">
        <v>10</v>
      </c>
      <c r="J719" t="n">
        <v>15</v>
      </c>
      <c r="K719" t="n">
        <v>10</v>
      </c>
      <c r="L719" t="b">
        <v>0</v>
      </c>
      <c r="M719" t="b">
        <v>0</v>
      </c>
      <c r="N719" t="inlineStr">
        <is>
          <t>AVOID</t>
        </is>
      </c>
    </row>
    <row r="720">
      <c r="A720" t="n">
        <v>719</v>
      </c>
      <c r="B720" t="inlineStr">
        <is>
          <t>TCPC</t>
        </is>
      </c>
      <c r="C720" t="inlineStr">
        <is>
          <t>2026-07-30</t>
        </is>
      </c>
      <c r="D720" t="n">
        <v>3.25</v>
      </c>
      <c r="E720" t="n">
        <v>49.38</v>
      </c>
      <c r="F720" t="n">
        <v>0.68</v>
      </c>
      <c r="G720" t="n">
        <v>-21.04</v>
      </c>
      <c r="H720" t="n">
        <v>-46.27</v>
      </c>
      <c r="I720" t="n">
        <v>10</v>
      </c>
      <c r="J720" t="n">
        <v>40</v>
      </c>
      <c r="K720" t="n">
        <v>10</v>
      </c>
      <c r="L720" t="b">
        <v>0</v>
      </c>
      <c r="M720" t="b">
        <v>0</v>
      </c>
      <c r="N720" t="inlineStr">
        <is>
          <t>AVOID</t>
        </is>
      </c>
    </row>
    <row r="721">
      <c r="A721" t="n">
        <v>720</v>
      </c>
      <c r="B721" t="inlineStr">
        <is>
          <t>NVMI</t>
        </is>
      </c>
      <c r="C721" t="inlineStr">
        <is>
          <t>2026-07-30</t>
        </is>
      </c>
      <c r="D721" t="n">
        <v>394.9</v>
      </c>
      <c r="E721" t="n">
        <v>31.84</v>
      </c>
      <c r="F721" t="n">
        <v>0.8100000000000001</v>
      </c>
      <c r="G721" t="n">
        <v>-21.09</v>
      </c>
      <c r="H721" t="n">
        <v>-34.8</v>
      </c>
      <c r="I721" t="n">
        <v>10</v>
      </c>
      <c r="J721" t="n">
        <v>0</v>
      </c>
      <c r="K721" t="n">
        <v>10</v>
      </c>
      <c r="L721" t="b">
        <v>0</v>
      </c>
      <c r="M721" t="b">
        <v>0</v>
      </c>
      <c r="N721" t="inlineStr">
        <is>
          <t>AVOID</t>
        </is>
      </c>
    </row>
    <row r="722">
      <c r="A722" t="n">
        <v>721</v>
      </c>
      <c r="B722" t="inlineStr">
        <is>
          <t>ANGI</t>
        </is>
      </c>
      <c r="C722" t="inlineStr">
        <is>
          <t>2026-07-30</t>
        </is>
      </c>
      <c r="D722" t="n">
        <v>5.74</v>
      </c>
      <c r="E722" t="n">
        <v>41.43</v>
      </c>
      <c r="F722" t="n">
        <v>0.63</v>
      </c>
      <c r="G722" t="n">
        <v>-21.87</v>
      </c>
      <c r="H722" t="n">
        <v>-69.66</v>
      </c>
      <c r="I722" t="n">
        <v>10</v>
      </c>
      <c r="J722" t="n">
        <v>0</v>
      </c>
      <c r="K722" t="n">
        <v>10</v>
      </c>
      <c r="L722" t="b">
        <v>0</v>
      </c>
      <c r="M722" t="b">
        <v>0</v>
      </c>
      <c r="N722" t="inlineStr">
        <is>
          <t>AVOID</t>
        </is>
      </c>
    </row>
    <row r="723">
      <c r="A723" t="n">
        <v>722</v>
      </c>
      <c r="B723" t="inlineStr">
        <is>
          <t>NFLX</t>
        </is>
      </c>
      <c r="C723" t="inlineStr">
        <is>
          <t>2026-07-30</t>
        </is>
      </c>
      <c r="D723" t="n">
        <v>72.89</v>
      </c>
      <c r="E723" t="n">
        <v>48.46</v>
      </c>
      <c r="F723" t="n">
        <v>0.73</v>
      </c>
      <c r="G723" t="n">
        <v>-22.13</v>
      </c>
      <c r="H723" t="n">
        <v>-42.3</v>
      </c>
      <c r="I723" t="n">
        <v>10</v>
      </c>
      <c r="J723" t="n">
        <v>40</v>
      </c>
      <c r="K723" t="n">
        <v>10</v>
      </c>
      <c r="L723" t="b">
        <v>0</v>
      </c>
      <c r="M723" t="b">
        <v>0</v>
      </c>
      <c r="N723" t="inlineStr">
        <is>
          <t>AVOID</t>
        </is>
      </c>
    </row>
    <row r="724">
      <c r="A724" t="n">
        <v>723</v>
      </c>
      <c r="B724" t="inlineStr">
        <is>
          <t>NKTX</t>
        </is>
      </c>
      <c r="C724" t="inlineStr">
        <is>
          <t>2026-07-30</t>
        </is>
      </c>
      <c r="D724" t="n">
        <v>2.15</v>
      </c>
      <c r="E724" t="n">
        <v>4.97</v>
      </c>
      <c r="F724" t="n">
        <v>0.57</v>
      </c>
      <c r="G724" t="n">
        <v>-22.2</v>
      </c>
      <c r="H724" t="n">
        <v>-41.28</v>
      </c>
      <c r="I724" t="n">
        <v>10</v>
      </c>
      <c r="J724" t="n">
        <v>0</v>
      </c>
      <c r="K724" t="n">
        <v>10</v>
      </c>
      <c r="L724" t="b">
        <v>0</v>
      </c>
      <c r="M724" t="b">
        <v>0</v>
      </c>
      <c r="N724" t="inlineStr">
        <is>
          <t>AVOID</t>
        </is>
      </c>
    </row>
    <row r="725">
      <c r="A725" t="n">
        <v>724</v>
      </c>
      <c r="B725" t="inlineStr">
        <is>
          <t>RMBS</t>
        </is>
      </c>
      <c r="C725" t="inlineStr">
        <is>
          <t>2026-07-30</t>
        </is>
      </c>
      <c r="D725" t="n">
        <v>89.5</v>
      </c>
      <c r="E725" t="n">
        <v>27.96</v>
      </c>
      <c r="F725" t="n">
        <v>0.6</v>
      </c>
      <c r="G725" t="n">
        <v>-22.24</v>
      </c>
      <c r="H725" t="n">
        <v>-47.55</v>
      </c>
      <c r="I725" t="n">
        <v>10</v>
      </c>
      <c r="J725" t="n">
        <v>0</v>
      </c>
      <c r="K725" t="n">
        <v>10</v>
      </c>
      <c r="L725" t="b">
        <v>0</v>
      </c>
      <c r="M725" t="b">
        <v>0</v>
      </c>
      <c r="N725" t="inlineStr">
        <is>
          <t>AVOID</t>
        </is>
      </c>
    </row>
    <row r="726">
      <c r="A726" t="n">
        <v>725</v>
      </c>
      <c r="B726" t="inlineStr">
        <is>
          <t>COHR</t>
        </is>
      </c>
      <c r="C726" t="inlineStr">
        <is>
          <t>2026-07-30</t>
        </is>
      </c>
      <c r="D726" t="n">
        <v>247.06</v>
      </c>
      <c r="E726" t="n">
        <v>32.14</v>
      </c>
      <c r="F726" t="n">
        <v>0.85</v>
      </c>
      <c r="G726" t="n">
        <v>-22.72</v>
      </c>
      <c r="H726" t="n">
        <v>-42.13</v>
      </c>
      <c r="I726" t="n">
        <v>10</v>
      </c>
      <c r="J726" t="n">
        <v>0</v>
      </c>
      <c r="K726" t="n">
        <v>10</v>
      </c>
      <c r="L726" t="b">
        <v>0</v>
      </c>
      <c r="M726" t="b">
        <v>0</v>
      </c>
      <c r="N726" t="inlineStr">
        <is>
          <t>AVOID</t>
        </is>
      </c>
    </row>
    <row r="727">
      <c r="A727" t="n">
        <v>726</v>
      </c>
      <c r="B727" t="inlineStr">
        <is>
          <t>GDS</t>
        </is>
      </c>
      <c r="C727" t="inlineStr">
        <is>
          <t>2026-07-30</t>
        </is>
      </c>
      <c r="D727" t="n">
        <v>31.89</v>
      </c>
      <c r="E727" t="n">
        <v>46.11</v>
      </c>
      <c r="F727" t="n">
        <v>0.8</v>
      </c>
      <c r="G727" t="n">
        <v>-24.57</v>
      </c>
      <c r="H727" t="n">
        <v>-32.89</v>
      </c>
      <c r="I727" t="n">
        <v>10</v>
      </c>
      <c r="J727" t="n">
        <v>40</v>
      </c>
      <c r="K727" t="n">
        <v>10</v>
      </c>
      <c r="L727" t="b">
        <v>0</v>
      </c>
      <c r="M727" t="b">
        <v>0</v>
      </c>
      <c r="N727" t="inlineStr">
        <is>
          <t>AVOID</t>
        </is>
      </c>
    </row>
    <row r="728">
      <c r="A728" t="n">
        <v>727</v>
      </c>
      <c r="B728" t="inlineStr">
        <is>
          <t>ERII</t>
        </is>
      </c>
      <c r="C728" t="inlineStr">
        <is>
          <t>2026-07-30</t>
        </is>
      </c>
      <c r="D728" t="n">
        <v>8.32</v>
      </c>
      <c r="E728" t="n">
        <v>35.89</v>
      </c>
      <c r="F728" t="n">
        <v>0.77</v>
      </c>
      <c r="G728" t="n">
        <v>-24.8</v>
      </c>
      <c r="H728" t="n">
        <v>-54.03</v>
      </c>
      <c r="I728" t="n">
        <v>10</v>
      </c>
      <c r="J728" t="n">
        <v>0</v>
      </c>
      <c r="K728" t="n">
        <v>10</v>
      </c>
      <c r="L728" t="b">
        <v>0</v>
      </c>
      <c r="M728" t="b">
        <v>0</v>
      </c>
      <c r="N728" t="inlineStr">
        <is>
          <t>AVOID</t>
        </is>
      </c>
    </row>
    <row r="729">
      <c r="A729" t="n">
        <v>728</v>
      </c>
      <c r="B729" t="inlineStr">
        <is>
          <t>INSM</t>
        </is>
      </c>
      <c r="C729" t="inlineStr">
        <is>
          <t>2026-07-30</t>
        </is>
      </c>
      <c r="D729" t="n">
        <v>101.25</v>
      </c>
      <c r="E729" t="n">
        <v>18.45</v>
      </c>
      <c r="F729" t="n">
        <v>0.9</v>
      </c>
      <c r="G729" t="n">
        <v>-25.73</v>
      </c>
      <c r="H729" t="n">
        <v>-52.11</v>
      </c>
      <c r="I729" t="n">
        <v>10</v>
      </c>
      <c r="J729" t="n">
        <v>0</v>
      </c>
      <c r="K729" t="n">
        <v>10</v>
      </c>
      <c r="L729" t="b">
        <v>0</v>
      </c>
      <c r="M729" t="b">
        <v>0</v>
      </c>
      <c r="N729" t="inlineStr">
        <is>
          <t>AVOID</t>
        </is>
      </c>
    </row>
    <row r="730">
      <c r="A730" t="n">
        <v>729</v>
      </c>
      <c r="B730" t="inlineStr">
        <is>
          <t>SRPT</t>
        </is>
      </c>
      <c r="C730" t="inlineStr">
        <is>
          <t>2026-07-30</t>
        </is>
      </c>
      <c r="D730" t="n">
        <v>15.41</v>
      </c>
      <c r="E730" t="n">
        <v>8.85</v>
      </c>
      <c r="F730" t="n">
        <v>0.59</v>
      </c>
      <c r="G730" t="n">
        <v>-26.17</v>
      </c>
      <c r="H730" t="n">
        <v>-36.95</v>
      </c>
      <c r="I730" t="n">
        <v>10</v>
      </c>
      <c r="J730" t="n">
        <v>0</v>
      </c>
      <c r="K730" t="n">
        <v>10</v>
      </c>
      <c r="L730" t="b">
        <v>0</v>
      </c>
      <c r="M730" t="b">
        <v>0</v>
      </c>
      <c r="N730" t="inlineStr">
        <is>
          <t>AVOID</t>
        </is>
      </c>
    </row>
    <row r="731">
      <c r="A731" t="n">
        <v>730</v>
      </c>
      <c r="B731" t="inlineStr">
        <is>
          <t>CAMT</t>
        </is>
      </c>
      <c r="C731" t="inlineStr">
        <is>
          <t>2026-07-30</t>
        </is>
      </c>
      <c r="D731" t="n">
        <v>137</v>
      </c>
      <c r="E731" t="n">
        <v>45.91</v>
      </c>
      <c r="F731" t="n">
        <v>0.74</v>
      </c>
      <c r="G731" t="n">
        <v>-28.62</v>
      </c>
      <c r="H731" t="n">
        <v>-33.96</v>
      </c>
      <c r="I731" t="n">
        <v>10</v>
      </c>
      <c r="J731" t="n">
        <v>25</v>
      </c>
      <c r="K731" t="n">
        <v>10</v>
      </c>
      <c r="L731" t="b">
        <v>0</v>
      </c>
      <c r="M731" t="b">
        <v>0</v>
      </c>
      <c r="N731" t="inlineStr">
        <is>
          <t>AVOID</t>
        </is>
      </c>
    </row>
    <row r="732">
      <c r="A732" t="n">
        <v>731</v>
      </c>
      <c r="B732" t="inlineStr">
        <is>
          <t>ALGS</t>
        </is>
      </c>
      <c r="C732" t="inlineStr">
        <is>
          <t>2026-07-30</t>
        </is>
      </c>
      <c r="D732" t="n">
        <v>4.28</v>
      </c>
      <c r="E732" t="n">
        <v>11.62</v>
      </c>
      <c r="F732" t="n">
        <v>0.24</v>
      </c>
      <c r="G732" t="n">
        <v>-28.63</v>
      </c>
      <c r="H732" t="n">
        <v>-67.84999999999999</v>
      </c>
      <c r="I732" t="n">
        <v>10</v>
      </c>
      <c r="J732" t="n">
        <v>0</v>
      </c>
      <c r="K732" t="n">
        <v>10</v>
      </c>
      <c r="L732" t="b">
        <v>0</v>
      </c>
      <c r="M732" t="b">
        <v>0</v>
      </c>
      <c r="N732" t="inlineStr">
        <is>
          <t>AVOID</t>
        </is>
      </c>
    </row>
    <row r="733">
      <c r="A733" t="n">
        <v>732</v>
      </c>
      <c r="B733" t="inlineStr">
        <is>
          <t>IPGP</t>
        </is>
      </c>
      <c r="C733" t="inlineStr">
        <is>
          <t>2026-07-30</t>
        </is>
      </c>
      <c r="D733" t="n">
        <v>84.23999999999999</v>
      </c>
      <c r="E733" t="n">
        <v>26.33</v>
      </c>
      <c r="F733" t="n">
        <v>0.52</v>
      </c>
      <c r="G733" t="n">
        <v>-29.16</v>
      </c>
      <c r="H733" t="n">
        <v>-45.27</v>
      </c>
      <c r="I733" t="n">
        <v>10</v>
      </c>
      <c r="J733" t="n">
        <v>0</v>
      </c>
      <c r="K733" t="n">
        <v>10</v>
      </c>
      <c r="L733" t="b">
        <v>0</v>
      </c>
      <c r="M733" t="b">
        <v>0</v>
      </c>
      <c r="N733" t="inlineStr">
        <is>
          <t>AVOID</t>
        </is>
      </c>
    </row>
    <row r="734">
      <c r="A734" t="n">
        <v>733</v>
      </c>
      <c r="B734" t="inlineStr">
        <is>
          <t>AEIS</t>
        </is>
      </c>
      <c r="C734" t="inlineStr">
        <is>
          <t>2026-07-30</t>
        </is>
      </c>
      <c r="D734" t="n">
        <v>270.11</v>
      </c>
      <c r="E734" t="n">
        <v>38.13</v>
      </c>
      <c r="F734" t="n">
        <v>1.15</v>
      </c>
      <c r="G734" t="n">
        <v>-29.62</v>
      </c>
      <c r="H734" t="n">
        <v>-30.55</v>
      </c>
      <c r="I734" t="n">
        <v>10</v>
      </c>
      <c r="J734" t="n">
        <v>15</v>
      </c>
      <c r="K734" t="n">
        <v>10</v>
      </c>
      <c r="L734" t="b">
        <v>0</v>
      </c>
      <c r="M734" t="b">
        <v>0</v>
      </c>
      <c r="N734" t="inlineStr">
        <is>
          <t>AVOID</t>
        </is>
      </c>
    </row>
    <row r="735">
      <c r="A735" t="n">
        <v>734</v>
      </c>
      <c r="B735" t="inlineStr">
        <is>
          <t>VFF</t>
        </is>
      </c>
      <c r="C735" t="inlineStr">
        <is>
          <t>2026-07-30</t>
        </is>
      </c>
      <c r="D735" t="n">
        <v>2</v>
      </c>
      <c r="E735" t="n">
        <v>46.02</v>
      </c>
      <c r="F735" t="n">
        <v>0.89</v>
      </c>
      <c r="G735" t="n">
        <v>-30</v>
      </c>
      <c r="H735" t="n">
        <v>-52.27</v>
      </c>
      <c r="I735" t="n">
        <v>10</v>
      </c>
      <c r="J735" t="n">
        <v>40</v>
      </c>
      <c r="K735" t="n">
        <v>10</v>
      </c>
      <c r="L735" t="b">
        <v>0</v>
      </c>
      <c r="M735" t="b">
        <v>0</v>
      </c>
      <c r="N735" t="inlineStr">
        <is>
          <t>AVOID</t>
        </is>
      </c>
    </row>
    <row r="736">
      <c r="A736" t="n">
        <v>735</v>
      </c>
      <c r="B736" t="inlineStr">
        <is>
          <t>ECHO</t>
        </is>
      </c>
      <c r="C736" t="inlineStr">
        <is>
          <t>2026-07-30</t>
        </is>
      </c>
      <c r="D736" t="n">
        <v>85.90000000000001</v>
      </c>
      <c r="E736" t="n">
        <v>33.83</v>
      </c>
      <c r="F736" t="n">
        <v>0.82</v>
      </c>
      <c r="G736" t="n">
        <v>-30.24</v>
      </c>
      <c r="H736" t="n">
        <v>-39.42</v>
      </c>
      <c r="I736" t="n">
        <v>10</v>
      </c>
      <c r="J736" t="n">
        <v>0</v>
      </c>
      <c r="K736" t="n">
        <v>10</v>
      </c>
      <c r="L736" t="b">
        <v>0</v>
      </c>
      <c r="M736" t="b">
        <v>0</v>
      </c>
      <c r="N736" t="inlineStr">
        <is>
          <t>AVOID</t>
        </is>
      </c>
    </row>
    <row r="737">
      <c r="A737" t="n">
        <v>736</v>
      </c>
      <c r="B737" t="inlineStr">
        <is>
          <t>AMKR</t>
        </is>
      </c>
      <c r="C737" t="inlineStr">
        <is>
          <t>2026-07-30</t>
        </is>
      </c>
      <c r="D737" t="n">
        <v>48.09</v>
      </c>
      <c r="E737" t="n">
        <v>27.71</v>
      </c>
      <c r="F737" t="n">
        <v>1</v>
      </c>
      <c r="G737" t="n">
        <v>-30.98</v>
      </c>
      <c r="H737" t="n">
        <v>-48.59</v>
      </c>
      <c r="I737" t="n">
        <v>10</v>
      </c>
      <c r="J737" t="n">
        <v>15</v>
      </c>
      <c r="K737" t="n">
        <v>10</v>
      </c>
      <c r="L737" t="b">
        <v>0</v>
      </c>
      <c r="M737" t="b">
        <v>0</v>
      </c>
      <c r="N737" t="inlineStr">
        <is>
          <t>AVOID</t>
        </is>
      </c>
    </row>
    <row r="738">
      <c r="A738" t="n">
        <v>737</v>
      </c>
      <c r="B738" t="inlineStr">
        <is>
          <t>BLNK</t>
        </is>
      </c>
      <c r="C738" t="inlineStr">
        <is>
          <t>2026-07-30</t>
        </is>
      </c>
      <c r="D738" t="n">
        <v>0.5</v>
      </c>
      <c r="E738" t="n">
        <v>37.63</v>
      </c>
      <c r="F738" t="n">
        <v>1.44</v>
      </c>
      <c r="G738" t="n">
        <v>-31.39</v>
      </c>
      <c r="H738" t="n">
        <v>-80.09999999999999</v>
      </c>
      <c r="I738" t="n">
        <v>0</v>
      </c>
      <c r="J738" t="n">
        <v>15</v>
      </c>
      <c r="K738" t="n">
        <v>10</v>
      </c>
      <c r="L738" t="b">
        <v>0</v>
      </c>
      <c r="M738" t="b">
        <v>0</v>
      </c>
      <c r="N738" t="inlineStr">
        <is>
          <t>AVOID</t>
        </is>
      </c>
    </row>
    <row r="739">
      <c r="A739" t="n">
        <v>738</v>
      </c>
      <c r="B739" t="inlineStr">
        <is>
          <t>TLRY</t>
        </is>
      </c>
      <c r="C739" t="inlineStr">
        <is>
          <t>2026-07-30</t>
        </is>
      </c>
      <c r="D739" t="n">
        <v>4.24</v>
      </c>
      <c r="E739" t="n">
        <v>41.79</v>
      </c>
      <c r="F739" t="n">
        <v>1.48</v>
      </c>
      <c r="G739" t="n">
        <v>-32.01</v>
      </c>
      <c r="H739" t="n">
        <v>-79.8</v>
      </c>
      <c r="I739" t="n">
        <v>0</v>
      </c>
      <c r="J739" t="n">
        <v>30</v>
      </c>
      <c r="K739" t="n">
        <v>10</v>
      </c>
      <c r="L739" t="b">
        <v>0</v>
      </c>
      <c r="M739" t="b">
        <v>0</v>
      </c>
      <c r="N739" t="inlineStr">
        <is>
          <t>AVOID</t>
        </is>
      </c>
    </row>
    <row r="740">
      <c r="A740" t="n">
        <v>739</v>
      </c>
      <c r="B740" t="inlineStr">
        <is>
          <t>KC</t>
        </is>
      </c>
      <c r="C740" t="inlineStr">
        <is>
          <t>2026-07-30</t>
        </is>
      </c>
      <c r="D740" t="n">
        <v>9.98</v>
      </c>
      <c r="E740" t="n">
        <v>38.52</v>
      </c>
      <c r="F740" t="n">
        <v>0.46</v>
      </c>
      <c r="G740" t="n">
        <v>-33.78</v>
      </c>
      <c r="H740" t="n">
        <v>-45.19</v>
      </c>
      <c r="I740" t="n">
        <v>10</v>
      </c>
      <c r="J740" t="n">
        <v>15</v>
      </c>
      <c r="K740" t="n">
        <v>10</v>
      </c>
      <c r="L740" t="b">
        <v>0</v>
      </c>
      <c r="M740" t="b">
        <v>0</v>
      </c>
      <c r="N740" t="inlineStr">
        <is>
          <t>AVOID</t>
        </is>
      </c>
    </row>
    <row r="741">
      <c r="A741" t="n">
        <v>740</v>
      </c>
      <c r="B741" t="inlineStr">
        <is>
          <t>PLUG</t>
        </is>
      </c>
      <c r="C741" t="inlineStr">
        <is>
          <t>2026-07-30</t>
        </is>
      </c>
      <c r="D741" t="n">
        <v>2.06</v>
      </c>
      <c r="E741" t="n">
        <v>41.58</v>
      </c>
      <c r="F741" t="n">
        <v>0.8100000000000001</v>
      </c>
      <c r="G741" t="n">
        <v>-34.19</v>
      </c>
      <c r="H741" t="n">
        <v>-50.24</v>
      </c>
      <c r="I741" t="n">
        <v>10</v>
      </c>
      <c r="J741" t="n">
        <v>0</v>
      </c>
      <c r="K741" t="n">
        <v>10</v>
      </c>
      <c r="L741" t="b">
        <v>0</v>
      </c>
      <c r="M741" t="b">
        <v>0</v>
      </c>
      <c r="N741" t="inlineStr">
        <is>
          <t>AVOID</t>
        </is>
      </c>
    </row>
    <row r="742">
      <c r="A742" t="n">
        <v>741</v>
      </c>
      <c r="B742" t="inlineStr">
        <is>
          <t>PLAB</t>
        </is>
      </c>
      <c r="C742" t="inlineStr">
        <is>
          <t>2026-07-30</t>
        </is>
      </c>
      <c r="D742" t="n">
        <v>29.76</v>
      </c>
      <c r="E742" t="n">
        <v>49.37</v>
      </c>
      <c r="F742" t="n">
        <v>0.38</v>
      </c>
      <c r="G742" t="n">
        <v>-39.85</v>
      </c>
      <c r="H742" t="n">
        <v>-45.85</v>
      </c>
      <c r="I742" t="n">
        <v>10</v>
      </c>
      <c r="J742" t="n">
        <v>40</v>
      </c>
      <c r="K742" t="n">
        <v>10</v>
      </c>
      <c r="L742" t="b">
        <v>0</v>
      </c>
      <c r="M742" t="b">
        <v>0</v>
      </c>
      <c r="N742" t="inlineStr">
        <is>
          <t>AVOID</t>
        </is>
      </c>
    </row>
    <row r="743">
      <c r="A743" t="n">
        <v>742</v>
      </c>
      <c r="B743" t="inlineStr">
        <is>
          <t>IHRT</t>
        </is>
      </c>
      <c r="C743" t="inlineStr">
        <is>
          <t>2026-07-30</t>
        </is>
      </c>
      <c r="D743" t="n">
        <v>3.46</v>
      </c>
      <c r="E743" t="n">
        <v>25.74</v>
      </c>
      <c r="F743" t="n">
        <v>0.5</v>
      </c>
      <c r="G743" t="n">
        <v>-42.04</v>
      </c>
      <c r="H743" t="n">
        <v>-45.34</v>
      </c>
      <c r="I743" t="n">
        <v>10</v>
      </c>
      <c r="J743" t="n">
        <v>0</v>
      </c>
      <c r="K743" t="n">
        <v>10</v>
      </c>
      <c r="L743" t="b">
        <v>0</v>
      </c>
      <c r="M743" t="b">
        <v>0</v>
      </c>
      <c r="N743" t="inlineStr">
        <is>
          <t>AVOID</t>
        </is>
      </c>
    </row>
    <row r="744">
      <c r="A744" t="n">
        <v>743</v>
      </c>
      <c r="B744" t="inlineStr">
        <is>
          <t>AMSC</t>
        </is>
      </c>
      <c r="C744" t="inlineStr">
        <is>
          <t>2026-07-30</t>
        </is>
      </c>
      <c r="D744" t="n">
        <v>29.2</v>
      </c>
      <c r="E744" t="n">
        <v>31.79</v>
      </c>
      <c r="F744" t="n">
        <v>0.67</v>
      </c>
      <c r="G744" t="n">
        <v>-45.45</v>
      </c>
      <c r="H744" t="n">
        <v>-56.2</v>
      </c>
      <c r="I744" t="n">
        <v>10</v>
      </c>
      <c r="J744" t="n">
        <v>0</v>
      </c>
      <c r="K744" t="n">
        <v>10</v>
      </c>
      <c r="L744" t="b">
        <v>0</v>
      </c>
      <c r="M744" t="b">
        <v>0</v>
      </c>
      <c r="N744" t="inlineStr">
        <is>
          <t>AVOID</t>
        </is>
      </c>
    </row>
    <row r="745">
      <c r="A745" t="n">
        <v>744</v>
      </c>
      <c r="B745" t="inlineStr">
        <is>
          <t>CDXS</t>
        </is>
      </c>
      <c r="C745" t="inlineStr">
        <is>
          <t>2026-07-30</t>
        </is>
      </c>
      <c r="D745" t="n">
        <v>1.48</v>
      </c>
      <c r="E745" t="n">
        <v>16.78</v>
      </c>
      <c r="F745" t="n">
        <v>0.3</v>
      </c>
      <c r="G745" t="n">
        <v>-47.52</v>
      </c>
      <c r="H745" t="n">
        <v>-52.26</v>
      </c>
      <c r="I745" t="n">
        <v>10</v>
      </c>
      <c r="J745" t="n">
        <v>0</v>
      </c>
      <c r="K745" t="n">
        <v>10</v>
      </c>
      <c r="L745" t="b">
        <v>0</v>
      </c>
      <c r="M745" t="b">
        <v>0</v>
      </c>
      <c r="N745" t="inlineStr">
        <is>
          <t>AVOID</t>
        </is>
      </c>
    </row>
    <row r="746">
      <c r="A746" t="n">
        <v>745</v>
      </c>
      <c r="B746" t="inlineStr">
        <is>
          <t>TARS</t>
        </is>
      </c>
      <c r="C746" t="inlineStr">
        <is>
          <t>2026-07-30</t>
        </is>
      </c>
      <c r="D746" t="n">
        <v>59.22</v>
      </c>
      <c r="E746" t="n">
        <v>53.03</v>
      </c>
      <c r="F746" t="n">
        <v>0.24</v>
      </c>
      <c r="G746" t="n">
        <v>-6.89</v>
      </c>
      <c r="H746" t="n">
        <v>-28.22</v>
      </c>
      <c r="I746" t="n">
        <v>5</v>
      </c>
      <c r="J746" t="n">
        <v>40</v>
      </c>
      <c r="K746" t="n">
        <v>5</v>
      </c>
      <c r="L746" t="b">
        <v>0</v>
      </c>
      <c r="M746" t="b">
        <v>0</v>
      </c>
      <c r="N746" t="inlineStr">
        <is>
          <t>AVOID</t>
        </is>
      </c>
    </row>
    <row r="747">
      <c r="A747" t="n">
        <v>746</v>
      </c>
      <c r="B747" t="inlineStr">
        <is>
          <t>ASLE</t>
        </is>
      </c>
      <c r="C747" t="inlineStr">
        <is>
          <t>2026-07-30</t>
        </is>
      </c>
      <c r="D747" t="n">
        <v>6.12</v>
      </c>
      <c r="E747" t="n">
        <v>54.31</v>
      </c>
      <c r="F747" t="n">
        <v>0.35</v>
      </c>
      <c r="G747" t="n">
        <v>-8.93</v>
      </c>
      <c r="H747" t="n">
        <v>-32</v>
      </c>
      <c r="I747" t="n">
        <v>5</v>
      </c>
      <c r="J747" t="n">
        <v>40</v>
      </c>
      <c r="K747" t="n">
        <v>5</v>
      </c>
      <c r="L747" t="b">
        <v>0</v>
      </c>
      <c r="M747" t="b">
        <v>0</v>
      </c>
      <c r="N747" t="inlineStr">
        <is>
          <t>AVOID</t>
        </is>
      </c>
    </row>
    <row r="748">
      <c r="A748" t="n">
        <v>747</v>
      </c>
      <c r="B748" t="inlineStr">
        <is>
          <t>PATK</t>
        </is>
      </c>
      <c r="C748" t="inlineStr">
        <is>
          <t>2026-07-30</t>
        </is>
      </c>
      <c r="D748" t="n">
        <v>82.84</v>
      </c>
      <c r="E748" t="n">
        <v>50.35</v>
      </c>
      <c r="F748" t="n">
        <v>0.97</v>
      </c>
      <c r="G748" t="n">
        <v>-10.46</v>
      </c>
      <c r="H748" t="n">
        <v>-42.67</v>
      </c>
      <c r="I748" t="n">
        <v>5</v>
      </c>
      <c r="J748" t="n">
        <v>40</v>
      </c>
      <c r="K748" t="n">
        <v>5</v>
      </c>
      <c r="L748" t="b">
        <v>0</v>
      </c>
      <c r="M748" t="b">
        <v>0</v>
      </c>
      <c r="N748" t="inlineStr">
        <is>
          <t>AVOID</t>
        </is>
      </c>
    </row>
    <row r="749">
      <c r="A749" t="n">
        <v>748</v>
      </c>
      <c r="B749" t="inlineStr">
        <is>
          <t>GEVO</t>
        </is>
      </c>
      <c r="C749" t="inlineStr">
        <is>
          <t>2026-07-30</t>
        </is>
      </c>
      <c r="D749" t="n">
        <v>1.52</v>
      </c>
      <c r="E749" t="n">
        <v>53.68</v>
      </c>
      <c r="F749" t="n">
        <v>0.63</v>
      </c>
      <c r="G749" t="n">
        <v>-20.42</v>
      </c>
      <c r="H749" t="n">
        <v>-45.32</v>
      </c>
      <c r="I749" t="n">
        <v>5</v>
      </c>
      <c r="J749" t="n">
        <v>40</v>
      </c>
      <c r="K749" t="n">
        <v>5</v>
      </c>
      <c r="L749" t="b">
        <v>0</v>
      </c>
      <c r="M749" t="b">
        <v>0</v>
      </c>
      <c r="N749" t="inlineStr">
        <is>
          <t>AVOID</t>
        </is>
      </c>
    </row>
    <row r="750">
      <c r="A750" t="n">
        <v>749</v>
      </c>
      <c r="B750" t="inlineStr">
        <is>
          <t>AVAV</t>
        </is>
      </c>
      <c r="C750" t="inlineStr">
        <is>
          <t>2026-07-30</t>
        </is>
      </c>
      <c r="D750" t="n">
        <v>145.23</v>
      </c>
      <c r="E750" t="n">
        <v>50.45</v>
      </c>
      <c r="F750" t="n">
        <v>0.37</v>
      </c>
      <c r="G750" t="n">
        <v>-25.53</v>
      </c>
      <c r="H750" t="n">
        <v>-64.56</v>
      </c>
      <c r="I750" t="n">
        <v>5</v>
      </c>
      <c r="J750" t="n">
        <v>25</v>
      </c>
      <c r="K750" t="n">
        <v>5</v>
      </c>
      <c r="L750" t="b">
        <v>0</v>
      </c>
      <c r="M750" t="b">
        <v>0</v>
      </c>
      <c r="N750" t="inlineStr">
        <is>
          <t>AVOID</t>
        </is>
      </c>
    </row>
    <row r="751">
      <c r="A751" t="n">
        <v>750</v>
      </c>
      <c r="B751" t="inlineStr">
        <is>
          <t>BBBY</t>
        </is>
      </c>
      <c r="C751" t="inlineStr">
        <is>
          <t>2026-07-30</t>
        </is>
      </c>
      <c r="D751" t="n">
        <v>5</v>
      </c>
      <c r="E751" t="n">
        <v>44.49</v>
      </c>
      <c r="F751" t="n">
        <v>0.4</v>
      </c>
      <c r="G751" t="n">
        <v>2.13</v>
      </c>
      <c r="H751" t="n">
        <v>-58.67</v>
      </c>
      <c r="I751" t="n">
        <v>0</v>
      </c>
      <c r="J751" t="n">
        <v>0</v>
      </c>
      <c r="K751" t="n">
        <v>0</v>
      </c>
      <c r="L751" t="b">
        <v>0</v>
      </c>
      <c r="M751" t="b">
        <v>0</v>
      </c>
      <c r="N751" t="inlineStr">
        <is>
          <t>AVOID</t>
        </is>
      </c>
    </row>
    <row r="752">
      <c r="A752" t="n">
        <v>751</v>
      </c>
      <c r="B752" t="inlineStr">
        <is>
          <t>DKNG</t>
        </is>
      </c>
      <c r="C752" t="inlineStr">
        <is>
          <t>2026-07-30</t>
        </is>
      </c>
      <c r="D752" t="n">
        <v>23.39</v>
      </c>
      <c r="E752" t="n">
        <v>27.92</v>
      </c>
      <c r="F752" t="n">
        <v>0.68</v>
      </c>
      <c r="G752" t="n">
        <v>0.3</v>
      </c>
      <c r="H752" t="n">
        <v>-51.5</v>
      </c>
      <c r="I752" t="n">
        <v>0</v>
      </c>
      <c r="J752" t="n">
        <v>0</v>
      </c>
      <c r="K752" t="n">
        <v>0</v>
      </c>
      <c r="L752" t="b">
        <v>0</v>
      </c>
      <c r="M752" t="b">
        <v>0</v>
      </c>
      <c r="N752" t="inlineStr">
        <is>
          <t>AVOID</t>
        </is>
      </c>
    </row>
    <row r="753">
      <c r="A753" t="n">
        <v>752</v>
      </c>
      <c r="B753" t="inlineStr">
        <is>
          <t>CSIQ</t>
        </is>
      </c>
      <c r="C753" t="inlineStr">
        <is>
          <t>2026-07-30</t>
        </is>
      </c>
      <c r="D753" t="n">
        <v>14.58</v>
      </c>
      <c r="E753" t="n">
        <v>46.72</v>
      </c>
      <c r="F753" t="n">
        <v>0.52</v>
      </c>
      <c r="G753" t="n">
        <v>-4.64</v>
      </c>
      <c r="H753" t="n">
        <v>-56.58</v>
      </c>
      <c r="I753" t="n">
        <v>0</v>
      </c>
      <c r="J753" t="n">
        <v>40</v>
      </c>
      <c r="K753" t="n">
        <v>0</v>
      </c>
      <c r="L753" t="b">
        <v>0</v>
      </c>
      <c r="M753" t="b">
        <v>0</v>
      </c>
      <c r="N753" t="inlineStr">
        <is>
          <t>AVOID</t>
        </is>
      </c>
    </row>
    <row r="754">
      <c r="A754" t="n">
        <v>753</v>
      </c>
      <c r="B754" t="inlineStr">
        <is>
          <t>BTBT</t>
        </is>
      </c>
      <c r="C754" t="inlineStr">
        <is>
          <t>2026-07-30</t>
        </is>
      </c>
      <c r="D754" t="n">
        <v>1.4</v>
      </c>
      <c r="E754" t="n">
        <v>36.18</v>
      </c>
      <c r="F754" t="n">
        <v>0.83</v>
      </c>
      <c r="G754" t="n">
        <v>-7.29</v>
      </c>
      <c r="H754" t="n">
        <v>-66.83</v>
      </c>
      <c r="I754" t="n">
        <v>0</v>
      </c>
      <c r="J754" t="n">
        <v>0</v>
      </c>
      <c r="K754" t="n">
        <v>0</v>
      </c>
      <c r="L754" t="b">
        <v>0</v>
      </c>
      <c r="M754" t="b">
        <v>0</v>
      </c>
      <c r="N754" t="inlineStr">
        <is>
          <t>AVOID</t>
        </is>
      </c>
    </row>
    <row r="755">
      <c r="A755" t="n">
        <v>754</v>
      </c>
      <c r="B755" t="inlineStr">
        <is>
          <t>CRSP</t>
        </is>
      </c>
      <c r="C755" t="inlineStr">
        <is>
          <t>2026-07-30</t>
        </is>
      </c>
      <c r="D755" t="n">
        <v>47.92</v>
      </c>
      <c r="E755" t="n">
        <v>28.97</v>
      </c>
      <c r="F755" t="n">
        <v>0.45</v>
      </c>
      <c r="G755" t="n">
        <v>-8.44</v>
      </c>
      <c r="H755" t="n">
        <v>-37.59</v>
      </c>
      <c r="I755" t="n">
        <v>0</v>
      </c>
      <c r="J755" t="n">
        <v>0</v>
      </c>
      <c r="K755" t="n">
        <v>0</v>
      </c>
      <c r="L755" t="b">
        <v>0</v>
      </c>
      <c r="M755" t="b">
        <v>0</v>
      </c>
      <c r="N755" t="inlineStr">
        <is>
          <t>AVOID</t>
        </is>
      </c>
    </row>
    <row r="756">
      <c r="A756" t="n">
        <v>755</v>
      </c>
      <c r="B756" t="inlineStr">
        <is>
          <t>AZN</t>
        </is>
      </c>
      <c r="C756" t="inlineStr">
        <is>
          <t>2026-07-30</t>
        </is>
      </c>
      <c r="D756" t="n">
        <v>171.49</v>
      </c>
      <c r="E756" t="n">
        <v>49.8</v>
      </c>
      <c r="F756" t="n">
        <v>0.62</v>
      </c>
      <c r="G756" t="n">
        <v>-8.48</v>
      </c>
      <c r="H756" t="n">
        <v>-17.8</v>
      </c>
      <c r="I756" t="n">
        <v>0</v>
      </c>
      <c r="J756" t="n">
        <v>40</v>
      </c>
      <c r="K756" t="n">
        <v>0</v>
      </c>
      <c r="L756" t="b">
        <v>0</v>
      </c>
      <c r="M756" t="b">
        <v>0</v>
      </c>
      <c r="N756" t="inlineStr">
        <is>
          <t>AVOID</t>
        </is>
      </c>
    </row>
    <row r="757">
      <c r="A757" t="n">
        <v>756</v>
      </c>
      <c r="B757" t="inlineStr">
        <is>
          <t>NTGR</t>
        </is>
      </c>
      <c r="C757" t="inlineStr">
        <is>
          <t>2026-07-30</t>
        </is>
      </c>
      <c r="D757" t="n">
        <v>22.95</v>
      </c>
      <c r="E757" t="n">
        <v>49.78</v>
      </c>
      <c r="F757" t="n">
        <v>0.35</v>
      </c>
      <c r="G757" t="n">
        <v>-9.18</v>
      </c>
      <c r="H757" t="n">
        <v>-36.27</v>
      </c>
      <c r="I757" t="n">
        <v>0</v>
      </c>
      <c r="J757" t="n">
        <v>40</v>
      </c>
      <c r="K757" t="n">
        <v>0</v>
      </c>
      <c r="L757" t="b">
        <v>0</v>
      </c>
      <c r="M757" t="b">
        <v>0</v>
      </c>
      <c r="N757" t="inlineStr">
        <is>
          <t>AVOID</t>
        </is>
      </c>
    </row>
    <row r="758">
      <c r="A758" t="n">
        <v>757</v>
      </c>
      <c r="B758" t="inlineStr">
        <is>
          <t>STOK</t>
        </is>
      </c>
      <c r="C758" t="inlineStr">
        <is>
          <t>2026-07-30</t>
        </is>
      </c>
      <c r="D758" t="n">
        <v>29.67</v>
      </c>
      <c r="E758" t="n">
        <v>39.21</v>
      </c>
      <c r="F758" t="n">
        <v>0.46</v>
      </c>
      <c r="G758" t="n">
        <v>-9.34</v>
      </c>
      <c r="H758" t="n">
        <v>-22.65</v>
      </c>
      <c r="I758" t="n">
        <v>0</v>
      </c>
      <c r="J758" t="n">
        <v>15</v>
      </c>
      <c r="K758" t="n">
        <v>0</v>
      </c>
      <c r="L758" t="b">
        <v>0</v>
      </c>
      <c r="M758" t="b">
        <v>0</v>
      </c>
      <c r="N758" t="inlineStr">
        <is>
          <t>AVOID</t>
        </is>
      </c>
    </row>
    <row r="759">
      <c r="A759" t="n">
        <v>758</v>
      </c>
      <c r="B759" t="inlineStr">
        <is>
          <t>SSYS</t>
        </is>
      </c>
      <c r="C759" t="inlineStr">
        <is>
          <t>2026-07-30</t>
        </is>
      </c>
      <c r="D759" t="n">
        <v>7.97</v>
      </c>
      <c r="E759" t="n">
        <v>35.2</v>
      </c>
      <c r="F759" t="n">
        <v>0.61</v>
      </c>
      <c r="G759" t="n">
        <v>-10.15</v>
      </c>
      <c r="H759" t="n">
        <v>-35.93</v>
      </c>
      <c r="I759" t="n">
        <v>0</v>
      </c>
      <c r="J759" t="n">
        <v>15</v>
      </c>
      <c r="K759" t="n">
        <v>0</v>
      </c>
      <c r="L759" t="b">
        <v>0</v>
      </c>
      <c r="M759" t="b">
        <v>0</v>
      </c>
      <c r="N759" t="inlineStr">
        <is>
          <t>AVOID</t>
        </is>
      </c>
    </row>
    <row r="760">
      <c r="A760" t="n">
        <v>759</v>
      </c>
      <c r="B760" t="inlineStr">
        <is>
          <t>VNET</t>
        </is>
      </c>
      <c r="C760" t="inlineStr">
        <is>
          <t>2026-07-30</t>
        </is>
      </c>
      <c r="D760" t="n">
        <v>7.43</v>
      </c>
      <c r="E760" t="n">
        <v>42.89</v>
      </c>
      <c r="F760" t="n">
        <v>1.1</v>
      </c>
      <c r="G760" t="n">
        <v>-10.53</v>
      </c>
      <c r="H760" t="n">
        <v>-47.01</v>
      </c>
      <c r="I760" t="n">
        <v>0</v>
      </c>
      <c r="J760" t="n">
        <v>30</v>
      </c>
      <c r="K760" t="n">
        <v>0</v>
      </c>
      <c r="L760" t="b">
        <v>0</v>
      </c>
      <c r="M760" t="b">
        <v>0</v>
      </c>
      <c r="N760" t="inlineStr">
        <is>
          <t>AVOID</t>
        </is>
      </c>
    </row>
    <row r="761">
      <c r="A761" t="n">
        <v>760</v>
      </c>
      <c r="B761" t="inlineStr">
        <is>
          <t>PLRX</t>
        </is>
      </c>
      <c r="C761" t="inlineStr">
        <is>
          <t>2026-07-30</t>
        </is>
      </c>
      <c r="D761" t="n">
        <v>1.07</v>
      </c>
      <c r="E761" t="n">
        <v>42.86</v>
      </c>
      <c r="F761" t="n">
        <v>0.21</v>
      </c>
      <c r="G761" t="n">
        <v>-12.3</v>
      </c>
      <c r="H761" t="n">
        <v>-42.78</v>
      </c>
      <c r="I761" t="n">
        <v>0</v>
      </c>
      <c r="J761" t="n">
        <v>0</v>
      </c>
      <c r="K761" t="n">
        <v>0</v>
      </c>
      <c r="L761" t="b">
        <v>0</v>
      </c>
      <c r="M761" t="b">
        <v>0</v>
      </c>
      <c r="N761" t="inlineStr">
        <is>
          <t>AVOID</t>
        </is>
      </c>
    </row>
    <row r="762">
      <c r="A762" t="n">
        <v>761</v>
      </c>
      <c r="B762" t="inlineStr">
        <is>
          <t>CGBD</t>
        </is>
      </c>
      <c r="C762" t="inlineStr">
        <is>
          <t>2026-07-30</t>
        </is>
      </c>
      <c r="D762" t="n">
        <v>10.06</v>
      </c>
      <c r="E762" t="n">
        <v>37.4</v>
      </c>
      <c r="F762" t="n">
        <v>0.54</v>
      </c>
      <c r="G762" t="n">
        <v>-12.31</v>
      </c>
      <c r="H762" t="n">
        <v>-17.89</v>
      </c>
      <c r="I762" t="n">
        <v>0</v>
      </c>
      <c r="J762" t="n">
        <v>0</v>
      </c>
      <c r="K762" t="n">
        <v>0</v>
      </c>
      <c r="L762" t="b">
        <v>0</v>
      </c>
      <c r="M762" t="b">
        <v>0</v>
      </c>
      <c r="N762" t="inlineStr">
        <is>
          <t>AVOID</t>
        </is>
      </c>
    </row>
    <row r="763">
      <c r="A763" t="n">
        <v>762</v>
      </c>
      <c r="B763" t="inlineStr">
        <is>
          <t>PZZA</t>
        </is>
      </c>
      <c r="C763" t="inlineStr">
        <is>
          <t>2026-07-30</t>
        </is>
      </c>
      <c r="D763" t="n">
        <v>30.75</v>
      </c>
      <c r="E763" t="n">
        <v>34.29</v>
      </c>
      <c r="F763" t="n">
        <v>0.77</v>
      </c>
      <c r="G763" t="n">
        <v>-13.89</v>
      </c>
      <c r="H763" t="n">
        <v>-42.25</v>
      </c>
      <c r="I763" t="n">
        <v>0</v>
      </c>
      <c r="J763" t="n">
        <v>0</v>
      </c>
      <c r="K763" t="n">
        <v>0</v>
      </c>
      <c r="L763" t="b">
        <v>0</v>
      </c>
      <c r="M763" t="b">
        <v>0</v>
      </c>
      <c r="N763" t="inlineStr">
        <is>
          <t>AVOID</t>
        </is>
      </c>
    </row>
    <row r="764">
      <c r="A764" t="n">
        <v>763</v>
      </c>
      <c r="B764" t="inlineStr">
        <is>
          <t>TSCO</t>
        </is>
      </c>
      <c r="C764" t="inlineStr">
        <is>
          <t>2026-07-30</t>
        </is>
      </c>
      <c r="D764" t="n">
        <v>29.97</v>
      </c>
      <c r="E764" t="n">
        <v>46.99</v>
      </c>
      <c r="F764" t="n">
        <v>0.46</v>
      </c>
      <c r="G764" t="n">
        <v>-13.92</v>
      </c>
      <c r="H764" t="n">
        <v>-51.35</v>
      </c>
      <c r="I764" t="n">
        <v>0</v>
      </c>
      <c r="J764" t="n">
        <v>40</v>
      </c>
      <c r="K764" t="n">
        <v>0</v>
      </c>
      <c r="L764" t="b">
        <v>0</v>
      </c>
      <c r="M764" t="b">
        <v>0</v>
      </c>
      <c r="N764" t="inlineStr">
        <is>
          <t>AVOID</t>
        </is>
      </c>
    </row>
    <row r="765">
      <c r="A765" t="n">
        <v>764</v>
      </c>
      <c r="B765" t="inlineStr">
        <is>
          <t>UPST</t>
        </is>
      </c>
      <c r="C765" t="inlineStr">
        <is>
          <t>2026-07-30</t>
        </is>
      </c>
      <c r="D765" t="n">
        <v>27.14</v>
      </c>
      <c r="E765" t="n">
        <v>21.66</v>
      </c>
      <c r="F765" t="n">
        <v>0.83</v>
      </c>
      <c r="G765" t="n">
        <v>-14.06</v>
      </c>
      <c r="H765" t="n">
        <v>-67.43000000000001</v>
      </c>
      <c r="I765" t="n">
        <v>0</v>
      </c>
      <c r="J765" t="n">
        <v>0</v>
      </c>
      <c r="K765" t="n">
        <v>0</v>
      </c>
      <c r="L765" t="b">
        <v>0</v>
      </c>
      <c r="M765" t="b">
        <v>0</v>
      </c>
      <c r="N765" t="inlineStr">
        <is>
          <t>AVOID</t>
        </is>
      </c>
    </row>
    <row r="766">
      <c r="A766" t="n">
        <v>765</v>
      </c>
      <c r="B766" t="inlineStr">
        <is>
          <t>BCYC</t>
        </is>
      </c>
      <c r="C766" t="inlineStr">
        <is>
          <t>2026-07-30</t>
        </is>
      </c>
      <c r="D766" t="n">
        <v>4.02</v>
      </c>
      <c r="E766" t="n">
        <v>31.66</v>
      </c>
      <c r="F766" t="n">
        <v>0.98</v>
      </c>
      <c r="G766" t="n">
        <v>-14.75</v>
      </c>
      <c r="H766" t="n">
        <v>-54.64</v>
      </c>
      <c r="I766" t="n">
        <v>0</v>
      </c>
      <c r="J766" t="n">
        <v>0</v>
      </c>
      <c r="K766" t="n">
        <v>0</v>
      </c>
      <c r="L766" t="b">
        <v>0</v>
      </c>
      <c r="M766" t="b">
        <v>0</v>
      </c>
      <c r="N766" t="inlineStr">
        <is>
          <t>AVOID</t>
        </is>
      </c>
    </row>
    <row r="767">
      <c r="A767" t="n">
        <v>766</v>
      </c>
      <c r="B767" t="inlineStr">
        <is>
          <t>BIDU</t>
        </is>
      </c>
      <c r="C767" t="inlineStr">
        <is>
          <t>2026-07-30</t>
        </is>
      </c>
      <c r="D767" t="n">
        <v>107.67</v>
      </c>
      <c r="E767" t="n">
        <v>31.52</v>
      </c>
      <c r="F767" t="n">
        <v>0.77</v>
      </c>
      <c r="G767" t="n">
        <v>-14.91</v>
      </c>
      <c r="H767" t="n">
        <v>-33.75</v>
      </c>
      <c r="I767" t="n">
        <v>0</v>
      </c>
      <c r="J767" t="n">
        <v>15</v>
      </c>
      <c r="K767" t="n">
        <v>0</v>
      </c>
      <c r="L767" t="b">
        <v>0</v>
      </c>
      <c r="M767" t="b">
        <v>0</v>
      </c>
      <c r="N767" t="inlineStr">
        <is>
          <t>AVOID</t>
        </is>
      </c>
    </row>
    <row r="768">
      <c r="A768" t="n">
        <v>767</v>
      </c>
      <c r="B768" t="inlineStr">
        <is>
          <t>CHRS</t>
        </is>
      </c>
      <c r="C768" t="inlineStr">
        <is>
          <t>2026-07-30</t>
        </is>
      </c>
      <c r="D768" t="n">
        <v>1.46</v>
      </c>
      <c r="E768" t="n">
        <v>40.23</v>
      </c>
      <c r="F768" t="n">
        <v>0.42</v>
      </c>
      <c r="G768" t="n">
        <v>-18.03</v>
      </c>
      <c r="H768" t="n">
        <v>-42.03</v>
      </c>
      <c r="I768" t="n">
        <v>0</v>
      </c>
      <c r="J768" t="n">
        <v>15</v>
      </c>
      <c r="K768" t="n">
        <v>0</v>
      </c>
      <c r="L768" t="b">
        <v>0</v>
      </c>
      <c r="M768" t="b">
        <v>0</v>
      </c>
      <c r="N768" t="inlineStr">
        <is>
          <t>AVOID</t>
        </is>
      </c>
    </row>
    <row r="769">
      <c r="A769" t="n">
        <v>768</v>
      </c>
      <c r="B769" t="inlineStr">
        <is>
          <t>PEGA</t>
        </is>
      </c>
      <c r="C769" t="inlineStr">
        <is>
          <t>2026-07-30</t>
        </is>
      </c>
      <c r="D769" t="n">
        <v>29.72</v>
      </c>
      <c r="E769" t="n">
        <v>45.61</v>
      </c>
      <c r="F769" t="n">
        <v>0.61</v>
      </c>
      <c r="G769" t="n">
        <v>-18.61</v>
      </c>
      <c r="H769" t="n">
        <v>-55.3</v>
      </c>
      <c r="I769" t="n">
        <v>0</v>
      </c>
      <c r="J769" t="n">
        <v>40</v>
      </c>
      <c r="K769" t="n">
        <v>0</v>
      </c>
      <c r="L769" t="b">
        <v>0</v>
      </c>
      <c r="M769" t="b">
        <v>0</v>
      </c>
      <c r="N769" t="inlineStr">
        <is>
          <t>AVOID</t>
        </is>
      </c>
    </row>
    <row r="770">
      <c r="A770" t="n">
        <v>769</v>
      </c>
      <c r="B770" t="inlineStr">
        <is>
          <t>WING</t>
        </is>
      </c>
      <c r="C770" t="inlineStr">
        <is>
          <t>2026-07-30</t>
        </is>
      </c>
      <c r="D770" t="n">
        <v>132.92</v>
      </c>
      <c r="E770" t="n">
        <v>27.35</v>
      </c>
      <c r="F770" t="n">
        <v>1.13</v>
      </c>
      <c r="G770" t="n">
        <v>-18.78</v>
      </c>
      <c r="H770" t="n">
        <v>-64.56</v>
      </c>
      <c r="I770" t="n">
        <v>0</v>
      </c>
      <c r="J770" t="n">
        <v>15</v>
      </c>
      <c r="K770" t="n">
        <v>0</v>
      </c>
      <c r="L770" t="b">
        <v>0</v>
      </c>
      <c r="M770" t="b">
        <v>0</v>
      </c>
      <c r="N770" t="inlineStr">
        <is>
          <t>AVOID</t>
        </is>
      </c>
    </row>
    <row r="771">
      <c r="A771" t="n">
        <v>770</v>
      </c>
      <c r="B771" t="inlineStr">
        <is>
          <t>CGC</t>
        </is>
      </c>
      <c r="C771" t="inlineStr">
        <is>
          <t>2026-07-30</t>
        </is>
      </c>
      <c r="D771" t="n">
        <v>0.9</v>
      </c>
      <c r="E771" t="n">
        <v>31.51</v>
      </c>
      <c r="F771" t="n">
        <v>0.61</v>
      </c>
      <c r="G771" t="n">
        <v>-18.85</v>
      </c>
      <c r="H771" t="n">
        <v>-53.08</v>
      </c>
      <c r="I771" t="n">
        <v>0</v>
      </c>
      <c r="J771" t="n">
        <v>0</v>
      </c>
      <c r="K771" t="n">
        <v>0</v>
      </c>
      <c r="L771" t="b">
        <v>0</v>
      </c>
      <c r="M771" t="b">
        <v>0</v>
      </c>
      <c r="N771" t="inlineStr">
        <is>
          <t>AVOID</t>
        </is>
      </c>
    </row>
    <row r="772">
      <c r="A772" t="n">
        <v>771</v>
      </c>
      <c r="B772" t="inlineStr">
        <is>
          <t>TSLA</t>
        </is>
      </c>
      <c r="C772" t="inlineStr">
        <is>
          <t>2026-07-30</t>
        </is>
      </c>
      <c r="D772" t="n">
        <v>309.39</v>
      </c>
      <c r="E772" t="n">
        <v>15.38</v>
      </c>
      <c r="F772" t="n">
        <v>0.68</v>
      </c>
      <c r="G772" t="n">
        <v>-18.93</v>
      </c>
      <c r="H772" t="n">
        <v>-36.84</v>
      </c>
      <c r="I772" t="n">
        <v>0</v>
      </c>
      <c r="J772" t="n">
        <v>0</v>
      </c>
      <c r="K772" t="n">
        <v>0</v>
      </c>
      <c r="L772" t="b">
        <v>0</v>
      </c>
      <c r="M772" t="b">
        <v>0</v>
      </c>
      <c r="N772" t="inlineStr">
        <is>
          <t>AVOID</t>
        </is>
      </c>
    </row>
    <row r="773">
      <c r="A773" t="n">
        <v>772</v>
      </c>
      <c r="B773" t="inlineStr">
        <is>
          <t>SPWH</t>
        </is>
      </c>
      <c r="C773" t="inlineStr">
        <is>
          <t>2026-07-30</t>
        </is>
      </c>
      <c r="D773" t="n">
        <v>1.14</v>
      </c>
      <c r="E773" t="n">
        <v>30</v>
      </c>
      <c r="F773" t="n">
        <v>0.48</v>
      </c>
      <c r="G773" t="n">
        <v>-19.15</v>
      </c>
      <c r="H773" t="n">
        <v>-68.68000000000001</v>
      </c>
      <c r="I773" t="n">
        <v>0</v>
      </c>
      <c r="J773" t="n">
        <v>0</v>
      </c>
      <c r="K773" t="n">
        <v>0</v>
      </c>
      <c r="L773" t="b">
        <v>0</v>
      </c>
      <c r="M773" t="b">
        <v>0</v>
      </c>
      <c r="N773" t="inlineStr">
        <is>
          <t>AVOID</t>
        </is>
      </c>
    </row>
    <row r="774">
      <c r="A774" t="n">
        <v>773</v>
      </c>
      <c r="B774" t="inlineStr">
        <is>
          <t>PFLT</t>
        </is>
      </c>
      <c r="C774" t="inlineStr">
        <is>
          <t>2026-07-30</t>
        </is>
      </c>
      <c r="D774" t="n">
        <v>6.99</v>
      </c>
      <c r="E774" t="n">
        <v>45.98</v>
      </c>
      <c r="F774" t="n">
        <v>0.47</v>
      </c>
      <c r="G774" t="n">
        <v>-19.38</v>
      </c>
      <c r="H774" t="n">
        <v>-23.76</v>
      </c>
      <c r="I774" t="n">
        <v>0</v>
      </c>
      <c r="J774" t="n">
        <v>40</v>
      </c>
      <c r="K774" t="n">
        <v>0</v>
      </c>
      <c r="L774" t="b">
        <v>0</v>
      </c>
      <c r="M774" t="b">
        <v>0</v>
      </c>
      <c r="N774" t="inlineStr">
        <is>
          <t>AVOID</t>
        </is>
      </c>
    </row>
    <row r="775">
      <c r="A775" t="n">
        <v>774</v>
      </c>
      <c r="B775" t="inlineStr">
        <is>
          <t>CURI</t>
        </is>
      </c>
      <c r="C775" t="inlineStr">
        <is>
          <t>2026-07-30</t>
        </is>
      </c>
      <c r="D775" t="n">
        <v>2.38</v>
      </c>
      <c r="E775" t="n">
        <v>32.08</v>
      </c>
      <c r="F775" t="n">
        <v>0.57</v>
      </c>
      <c r="G775" t="n">
        <v>-22.24</v>
      </c>
      <c r="H775" t="n">
        <v>-52.83</v>
      </c>
      <c r="I775" t="n">
        <v>0</v>
      </c>
      <c r="J775" t="n">
        <v>0</v>
      </c>
      <c r="K775" t="n">
        <v>0</v>
      </c>
      <c r="L775" t="b">
        <v>0</v>
      </c>
      <c r="M775" t="b">
        <v>0</v>
      </c>
      <c r="N775" t="inlineStr">
        <is>
          <t>AVOID</t>
        </is>
      </c>
    </row>
    <row r="776">
      <c r="A776" t="n">
        <v>775</v>
      </c>
      <c r="B776" t="inlineStr">
        <is>
          <t>TTD</t>
        </is>
      </c>
      <c r="C776" t="inlineStr">
        <is>
          <t>2026-07-30</t>
        </is>
      </c>
      <c r="D776" t="n">
        <v>18.31</v>
      </c>
      <c r="E776" t="n">
        <v>41.64</v>
      </c>
      <c r="F776" t="n">
        <v>0.78</v>
      </c>
      <c r="G776" t="n">
        <v>-22.38</v>
      </c>
      <c r="H776" t="n">
        <v>-79.59999999999999</v>
      </c>
      <c r="I776" t="n">
        <v>0</v>
      </c>
      <c r="J776" t="n">
        <v>15</v>
      </c>
      <c r="K776" t="n">
        <v>0</v>
      </c>
      <c r="L776" t="b">
        <v>0</v>
      </c>
      <c r="M776" t="b">
        <v>0</v>
      </c>
      <c r="N776" t="inlineStr">
        <is>
          <t>AVOID</t>
        </is>
      </c>
    </row>
    <row r="777">
      <c r="A777" t="n">
        <v>776</v>
      </c>
      <c r="B777" t="inlineStr">
        <is>
          <t>HAIN</t>
        </is>
      </c>
      <c r="C777" t="inlineStr">
        <is>
          <t>2026-07-30</t>
        </is>
      </c>
      <c r="D777" t="n">
        <v>0.5</v>
      </c>
      <c r="E777" t="n">
        <v>38.29</v>
      </c>
      <c r="F777" t="n">
        <v>0.45</v>
      </c>
      <c r="G777" t="n">
        <v>-22.82</v>
      </c>
      <c r="H777" t="n">
        <v>-76.67</v>
      </c>
      <c r="I777" t="n">
        <v>0</v>
      </c>
      <c r="J777" t="n">
        <v>0</v>
      </c>
      <c r="K777" t="n">
        <v>0</v>
      </c>
      <c r="L777" t="b">
        <v>0</v>
      </c>
      <c r="M777" t="b">
        <v>0</v>
      </c>
      <c r="N777" t="inlineStr">
        <is>
          <t>AVOID</t>
        </is>
      </c>
    </row>
    <row r="778">
      <c r="A778" t="n">
        <v>777</v>
      </c>
      <c r="B778" t="inlineStr">
        <is>
          <t>SNPS</t>
        </is>
      </c>
      <c r="C778" t="inlineStr">
        <is>
          <t>2026-07-30</t>
        </is>
      </c>
      <c r="D778" t="n">
        <v>372.24</v>
      </c>
      <c r="E778" t="n">
        <v>20.82</v>
      </c>
      <c r="F778" t="n">
        <v>0.65</v>
      </c>
      <c r="G778" t="n">
        <v>-22.87</v>
      </c>
      <c r="H778" t="n">
        <v>-42.32</v>
      </c>
      <c r="I778" t="n">
        <v>0</v>
      </c>
      <c r="J778" t="n">
        <v>0</v>
      </c>
      <c r="K778" t="n">
        <v>0</v>
      </c>
      <c r="L778" t="b">
        <v>0</v>
      </c>
      <c r="M778" t="b">
        <v>0</v>
      </c>
      <c r="N778" t="inlineStr">
        <is>
          <t>AVOID</t>
        </is>
      </c>
    </row>
    <row r="779">
      <c r="A779" t="n">
        <v>778</v>
      </c>
      <c r="B779" t="inlineStr">
        <is>
          <t>ISRG</t>
        </is>
      </c>
      <c r="C779" t="inlineStr">
        <is>
          <t>2026-07-30</t>
        </is>
      </c>
      <c r="D779" t="n">
        <v>351.79</v>
      </c>
      <c r="E779" t="n">
        <v>34.41</v>
      </c>
      <c r="F779" t="n">
        <v>0.42</v>
      </c>
      <c r="G779" t="n">
        <v>-23.12</v>
      </c>
      <c r="H779" t="n">
        <v>-40.66</v>
      </c>
      <c r="I779" t="n">
        <v>0</v>
      </c>
      <c r="J779" t="n">
        <v>0</v>
      </c>
      <c r="K779" t="n">
        <v>0</v>
      </c>
      <c r="L779" t="b">
        <v>0</v>
      </c>
      <c r="M779" t="b">
        <v>0</v>
      </c>
      <c r="N779" t="inlineStr">
        <is>
          <t>AVOID</t>
        </is>
      </c>
    </row>
    <row r="780">
      <c r="A780" t="n">
        <v>779</v>
      </c>
      <c r="B780" t="inlineStr">
        <is>
          <t>PRTA</t>
        </is>
      </c>
      <c r="C780" t="inlineStr">
        <is>
          <t>2026-07-30</t>
        </is>
      </c>
      <c r="D780" t="n">
        <v>8.49</v>
      </c>
      <c r="E780" t="n">
        <v>31.42</v>
      </c>
      <c r="F780" t="n">
        <v>0.49</v>
      </c>
      <c r="G780" t="n">
        <v>-23.19</v>
      </c>
      <c r="H780" t="n">
        <v>-26.19</v>
      </c>
      <c r="I780" t="n">
        <v>0</v>
      </c>
      <c r="J780" t="n">
        <v>0</v>
      </c>
      <c r="K780" t="n">
        <v>0</v>
      </c>
      <c r="L780" t="b">
        <v>0</v>
      </c>
      <c r="M780" t="b">
        <v>0</v>
      </c>
      <c r="N780" t="inlineStr">
        <is>
          <t>AVOID</t>
        </is>
      </c>
    </row>
    <row r="781">
      <c r="A781" t="n">
        <v>780</v>
      </c>
      <c r="B781" t="inlineStr">
        <is>
          <t>SMPL</t>
        </is>
      </c>
      <c r="C781" t="inlineStr">
        <is>
          <t>2026-07-30</t>
        </is>
      </c>
      <c r="D781" t="n">
        <v>10.25</v>
      </c>
      <c r="E781" t="n">
        <v>25.29</v>
      </c>
      <c r="F781" t="n">
        <v>0.7</v>
      </c>
      <c r="G781" t="n">
        <v>-23.34</v>
      </c>
      <c r="H781" t="n">
        <v>-67.04000000000001</v>
      </c>
      <c r="I781" t="n">
        <v>0</v>
      </c>
      <c r="J781" t="n">
        <v>0</v>
      </c>
      <c r="K781" t="n">
        <v>0</v>
      </c>
      <c r="L781" t="b">
        <v>0</v>
      </c>
      <c r="M781" t="b">
        <v>0</v>
      </c>
      <c r="N781" t="inlineStr">
        <is>
          <t>AVOID</t>
        </is>
      </c>
    </row>
    <row r="782">
      <c r="A782" t="n">
        <v>781</v>
      </c>
      <c r="B782" t="inlineStr">
        <is>
          <t>REKR</t>
        </is>
      </c>
      <c r="C782" t="inlineStr">
        <is>
          <t>2026-07-30</t>
        </is>
      </c>
      <c r="D782" t="n">
        <v>0.63</v>
      </c>
      <c r="E782" t="n">
        <v>40.89</v>
      </c>
      <c r="F782" t="n">
        <v>0.29</v>
      </c>
      <c r="G782" t="n">
        <v>-23.48</v>
      </c>
      <c r="H782" t="n">
        <v>-80.39</v>
      </c>
      <c r="I782" t="n">
        <v>0</v>
      </c>
      <c r="J782" t="n">
        <v>15</v>
      </c>
      <c r="K782" t="n">
        <v>0</v>
      </c>
      <c r="L782" t="b">
        <v>0</v>
      </c>
      <c r="M782" t="b">
        <v>0</v>
      </c>
      <c r="N782" t="inlineStr">
        <is>
          <t>AVOID</t>
        </is>
      </c>
    </row>
    <row r="783">
      <c r="A783" t="n">
        <v>782</v>
      </c>
      <c r="B783" t="inlineStr">
        <is>
          <t>RUN</t>
        </is>
      </c>
      <c r="C783" t="inlineStr">
        <is>
          <t>2026-07-30</t>
        </is>
      </c>
      <c r="D783" t="n">
        <v>9.550000000000001</v>
      </c>
      <c r="E783" t="n">
        <v>12.45</v>
      </c>
      <c r="F783" t="n">
        <v>0.47</v>
      </c>
      <c r="G783" t="n">
        <v>-25.02</v>
      </c>
      <c r="H783" t="n">
        <v>-55.42</v>
      </c>
      <c r="I783" t="n">
        <v>0</v>
      </c>
      <c r="J783" t="n">
        <v>0</v>
      </c>
      <c r="K783" t="n">
        <v>0</v>
      </c>
      <c r="L783" t="b">
        <v>0</v>
      </c>
      <c r="M783" t="b">
        <v>0</v>
      </c>
      <c r="N783" t="inlineStr">
        <is>
          <t>AVOID</t>
        </is>
      </c>
    </row>
    <row r="784">
      <c r="A784" t="n">
        <v>783</v>
      </c>
      <c r="B784" t="inlineStr">
        <is>
          <t>KTOS</t>
        </is>
      </c>
      <c r="C784" t="inlineStr">
        <is>
          <t>2026-07-30</t>
        </is>
      </c>
      <c r="D784" t="n">
        <v>45.65</v>
      </c>
      <c r="E784" t="n">
        <v>44.86</v>
      </c>
      <c r="F784" t="n">
        <v>0.6</v>
      </c>
      <c r="G784" t="n">
        <v>-27.6</v>
      </c>
      <c r="H784" t="n">
        <v>-65.08</v>
      </c>
      <c r="I784" t="n">
        <v>0</v>
      </c>
      <c r="J784" t="n">
        <v>0</v>
      </c>
      <c r="K784" t="n">
        <v>0</v>
      </c>
      <c r="L784" t="b">
        <v>0</v>
      </c>
      <c r="M784" t="b">
        <v>0</v>
      </c>
      <c r="N784" t="inlineStr">
        <is>
          <t>AVOID</t>
        </is>
      </c>
    </row>
    <row r="785">
      <c r="A785" t="n">
        <v>784</v>
      </c>
      <c r="B785" t="inlineStr">
        <is>
          <t>CDZI</t>
        </is>
      </c>
      <c r="C785" t="inlineStr">
        <is>
          <t>2026-07-30</t>
        </is>
      </c>
      <c r="D785" t="n">
        <v>3.12</v>
      </c>
      <c r="E785" t="n">
        <v>15.59</v>
      </c>
      <c r="F785" t="n">
        <v>0.48</v>
      </c>
      <c r="G785" t="n">
        <v>-27.94</v>
      </c>
      <c r="H785" t="n">
        <v>-54.91</v>
      </c>
      <c r="I785" t="n">
        <v>0</v>
      </c>
      <c r="J785" t="n">
        <v>0</v>
      </c>
      <c r="K785" t="n">
        <v>0</v>
      </c>
      <c r="L785" t="b">
        <v>0</v>
      </c>
      <c r="M785" t="b">
        <v>0</v>
      </c>
      <c r="N785" t="inlineStr">
        <is>
          <t>AVOID</t>
        </is>
      </c>
    </row>
    <row r="786">
      <c r="A786" t="n">
        <v>785</v>
      </c>
      <c r="B786" t="inlineStr">
        <is>
          <t>VNDA</t>
        </is>
      </c>
      <c r="C786" t="inlineStr">
        <is>
          <t>2026-07-30</t>
        </is>
      </c>
      <c r="D786" t="n">
        <v>5.11</v>
      </c>
      <c r="E786" t="n">
        <v>16.17</v>
      </c>
      <c r="F786" t="n">
        <v>0.58</v>
      </c>
      <c r="G786" t="n">
        <v>-28.03</v>
      </c>
      <c r="H786" t="n">
        <v>-46.55</v>
      </c>
      <c r="I786" t="n">
        <v>0</v>
      </c>
      <c r="J786" t="n">
        <v>0</v>
      </c>
      <c r="K786" t="n">
        <v>0</v>
      </c>
      <c r="L786" t="b">
        <v>0</v>
      </c>
      <c r="M786" t="b">
        <v>0</v>
      </c>
      <c r="N786" t="inlineStr">
        <is>
          <t>AVOID</t>
        </is>
      </c>
    </row>
    <row r="787">
      <c r="A787" t="n">
        <v>786</v>
      </c>
      <c r="B787" t="inlineStr">
        <is>
          <t>IONS</t>
        </is>
      </c>
      <c r="C787" t="inlineStr">
        <is>
          <t>2026-07-30</t>
        </is>
      </c>
      <c r="D787" t="n">
        <v>53.57</v>
      </c>
      <c r="E787" t="n">
        <v>30.3</v>
      </c>
      <c r="F787" t="n">
        <v>0.36</v>
      </c>
      <c r="G787" t="n">
        <v>-28.34</v>
      </c>
      <c r="H787" t="n">
        <v>-38.07</v>
      </c>
      <c r="I787" t="n">
        <v>0</v>
      </c>
      <c r="J787" t="n">
        <v>0</v>
      </c>
      <c r="K787" t="n">
        <v>0</v>
      </c>
      <c r="L787" t="b">
        <v>0</v>
      </c>
      <c r="M787" t="b">
        <v>0</v>
      </c>
      <c r="N787" t="inlineStr">
        <is>
          <t>AVOID</t>
        </is>
      </c>
    </row>
    <row r="788">
      <c r="A788" t="n">
        <v>787</v>
      </c>
      <c r="B788" t="inlineStr">
        <is>
          <t>OPEN</t>
        </is>
      </c>
      <c r="C788" t="inlineStr">
        <is>
          <t>2026-07-30</t>
        </is>
      </c>
      <c r="D788" t="n">
        <v>3.83</v>
      </c>
      <c r="E788" t="n">
        <v>27.36</v>
      </c>
      <c r="F788" t="n">
        <v>0.4</v>
      </c>
      <c r="G788" t="n">
        <v>-28.81</v>
      </c>
      <c r="H788" t="n">
        <v>-63.59</v>
      </c>
      <c r="I788" t="n">
        <v>0</v>
      </c>
      <c r="J788" t="n">
        <v>0</v>
      </c>
      <c r="K788" t="n">
        <v>0</v>
      </c>
      <c r="L788" t="b">
        <v>0</v>
      </c>
      <c r="M788" t="b">
        <v>0</v>
      </c>
      <c r="N788" t="inlineStr">
        <is>
          <t>AVOID</t>
        </is>
      </c>
    </row>
    <row r="789">
      <c r="A789" t="n">
        <v>788</v>
      </c>
      <c r="B789" t="inlineStr">
        <is>
          <t>ARCT</t>
        </is>
      </c>
      <c r="C789" t="inlineStr">
        <is>
          <t>2026-07-30</t>
        </is>
      </c>
      <c r="D789" t="n">
        <v>5.9</v>
      </c>
      <c r="E789" t="n">
        <v>21.99</v>
      </c>
      <c r="F789" t="n">
        <v>0.4</v>
      </c>
      <c r="G789" t="n">
        <v>-31.55</v>
      </c>
      <c r="H789" t="n">
        <v>-74.53</v>
      </c>
      <c r="I789" t="n">
        <v>0</v>
      </c>
      <c r="J789" t="n">
        <v>0</v>
      </c>
      <c r="K789" t="n">
        <v>0</v>
      </c>
      <c r="L789" t="b">
        <v>0</v>
      </c>
      <c r="M789" t="b">
        <v>0</v>
      </c>
      <c r="N789" t="inlineStr">
        <is>
          <t>AVOID</t>
        </is>
      </c>
    </row>
    <row r="790">
      <c r="A790" t="n">
        <v>789</v>
      </c>
      <c r="B790" t="inlineStr">
        <is>
          <t>ARRY</t>
        </is>
      </c>
      <c r="C790" t="inlineStr">
        <is>
          <t>2026-07-30</t>
        </is>
      </c>
      <c r="D790" t="n">
        <v>5.05</v>
      </c>
      <c r="E790" t="n">
        <v>26.88</v>
      </c>
      <c r="F790" t="n">
        <v>0.37</v>
      </c>
      <c r="G790" t="n">
        <v>-34.82</v>
      </c>
      <c r="H790" t="n">
        <v>-57.82</v>
      </c>
      <c r="I790" t="n">
        <v>0</v>
      </c>
      <c r="J790" t="n">
        <v>0</v>
      </c>
      <c r="K790" t="n">
        <v>0</v>
      </c>
      <c r="L790" t="b">
        <v>0</v>
      </c>
      <c r="M790" t="b">
        <v>0</v>
      </c>
      <c r="N790" t="inlineStr">
        <is>
          <t>AVOID</t>
        </is>
      </c>
    </row>
    <row r="791">
      <c r="A791" t="n">
        <v>790</v>
      </c>
      <c r="B791" t="inlineStr">
        <is>
          <t>BDTX</t>
        </is>
      </c>
      <c r="C791" t="inlineStr">
        <is>
          <t>2026-07-30</t>
        </is>
      </c>
      <c r="D791" t="n">
        <v>1.7</v>
      </c>
      <c r="E791" t="n">
        <v>30.2</v>
      </c>
      <c r="F791" t="n">
        <v>0.45</v>
      </c>
      <c r="G791" t="n">
        <v>-35.85</v>
      </c>
      <c r="H791" t="n">
        <v>-65.09</v>
      </c>
      <c r="I791" t="n">
        <v>0</v>
      </c>
      <c r="J791" t="n">
        <v>0</v>
      </c>
      <c r="K791" t="n">
        <v>0</v>
      </c>
      <c r="L791" t="b">
        <v>0</v>
      </c>
      <c r="M791" t="b">
        <v>0</v>
      </c>
      <c r="N791" t="inlineStr">
        <is>
          <t>AVOID</t>
        </is>
      </c>
    </row>
    <row r="792">
      <c r="A792" t="n">
        <v>791</v>
      </c>
      <c r="B792" t="inlineStr">
        <is>
          <t>BTAI</t>
        </is>
      </c>
      <c r="C792" t="inlineStr">
        <is>
          <t>2026-07-30</t>
        </is>
      </c>
      <c r="D792" t="n">
        <v>0.79</v>
      </c>
      <c r="E792" t="n">
        <v>47.07</v>
      </c>
      <c r="F792" t="n">
        <v>0.43</v>
      </c>
      <c r="G792" t="n">
        <v>-36.16</v>
      </c>
      <c r="H792" t="n">
        <v>-88.45</v>
      </c>
      <c r="I792" t="n">
        <v>0</v>
      </c>
      <c r="J792" t="n">
        <v>25</v>
      </c>
      <c r="K792" t="n">
        <v>0</v>
      </c>
      <c r="L792" t="b">
        <v>0</v>
      </c>
      <c r="M792" t="b">
        <v>0</v>
      </c>
      <c r="N792" t="inlineStr">
        <is>
          <t>AVOID</t>
        </is>
      </c>
    </row>
    <row r="793">
      <c r="A793" t="n">
        <v>792</v>
      </c>
      <c r="B793" t="inlineStr">
        <is>
          <t>BEAT</t>
        </is>
      </c>
      <c r="C793" t="inlineStr">
        <is>
          <t>2026-07-30</t>
        </is>
      </c>
      <c r="D793" t="n">
        <v>0.52</v>
      </c>
      <c r="E793" t="n">
        <v>39.29</v>
      </c>
      <c r="F793" t="n">
        <v>0.12</v>
      </c>
      <c r="G793" t="n">
        <v>-39.52</v>
      </c>
      <c r="H793" t="n">
        <v>-84.92</v>
      </c>
      <c r="I793" t="n">
        <v>0</v>
      </c>
      <c r="J793" t="n">
        <v>0</v>
      </c>
      <c r="K793" t="n">
        <v>0</v>
      </c>
      <c r="L793" t="b">
        <v>0</v>
      </c>
      <c r="M793" t="b">
        <v>0</v>
      </c>
      <c r="N793" t="inlineStr">
        <is>
          <t>AVOID</t>
        </is>
      </c>
    </row>
    <row r="794">
      <c r="A794" t="n">
        <v>793</v>
      </c>
      <c r="B794" t="inlineStr">
        <is>
          <t>GILT</t>
        </is>
      </c>
      <c r="C794" t="inlineStr">
        <is>
          <t>2026-07-30</t>
        </is>
      </c>
      <c r="D794" t="n">
        <v>10.82</v>
      </c>
      <c r="E794" t="n">
        <v>38.03</v>
      </c>
      <c r="F794" t="n">
        <v>0.48</v>
      </c>
      <c r="G794" t="n">
        <v>-41.39</v>
      </c>
      <c r="H794" t="n">
        <v>-48.11</v>
      </c>
      <c r="I794" t="n">
        <v>0</v>
      </c>
      <c r="J794" t="n">
        <v>0</v>
      </c>
      <c r="K794" t="n">
        <v>0</v>
      </c>
      <c r="L794" t="b">
        <v>0</v>
      </c>
      <c r="M794" t="b">
        <v>0</v>
      </c>
      <c r="N794" t="inlineStr">
        <is>
          <t>AVOID</t>
        </is>
      </c>
    </row>
    <row r="795">
      <c r="A795" t="n">
        <v>794</v>
      </c>
      <c r="B795" t="inlineStr">
        <is>
          <t>SSP</t>
        </is>
      </c>
      <c r="C795" t="inlineStr">
        <is>
          <t>2026-07-30</t>
        </is>
      </c>
      <c r="D795" t="n">
        <v>2.79</v>
      </c>
      <c r="E795" t="n">
        <v>42.35</v>
      </c>
      <c r="F795" t="n">
        <v>0.89</v>
      </c>
      <c r="G795" t="n">
        <v>-41.86</v>
      </c>
      <c r="H795" t="n">
        <v>-46.03</v>
      </c>
      <c r="I795" t="n">
        <v>0</v>
      </c>
      <c r="J795" t="n">
        <v>0</v>
      </c>
      <c r="K795" t="n">
        <v>0</v>
      </c>
      <c r="L795" t="b">
        <v>0</v>
      </c>
      <c r="M795" t="b">
        <v>0</v>
      </c>
      <c r="N795" t="inlineStr">
        <is>
          <t>AVOID</t>
        </is>
      </c>
    </row>
    <row r="796">
      <c r="A796" t="n">
        <v>795</v>
      </c>
      <c r="B796" t="inlineStr">
        <is>
          <t>NNOX</t>
        </is>
      </c>
      <c r="C796" t="inlineStr">
        <is>
          <t>2026-07-30</t>
        </is>
      </c>
      <c r="D796" t="n">
        <v>0.97</v>
      </c>
      <c r="E796" t="n">
        <v>41.88</v>
      </c>
      <c r="F796" t="n">
        <v>0.53</v>
      </c>
      <c r="G796" t="n">
        <v>-43.22</v>
      </c>
      <c r="H796" t="n">
        <v>-80.15000000000001</v>
      </c>
      <c r="I796" t="n">
        <v>0</v>
      </c>
      <c r="J796" t="n">
        <v>0</v>
      </c>
      <c r="K796" t="n">
        <v>0</v>
      </c>
      <c r="L796" t="b">
        <v>0</v>
      </c>
      <c r="M796" t="b">
        <v>0</v>
      </c>
      <c r="N796" t="inlineStr">
        <is>
          <t>AVOID</t>
        </is>
      </c>
    </row>
    <row r="797">
      <c r="A797" t="n">
        <v>796</v>
      </c>
      <c r="B797" t="inlineStr">
        <is>
          <t>BYND</t>
        </is>
      </c>
      <c r="C797" t="inlineStr">
        <is>
          <t>2026-07-30</t>
        </is>
      </c>
      <c r="D797" t="n">
        <v>0.5600000000000001</v>
      </c>
      <c r="E797" t="n">
        <v>26.76</v>
      </c>
      <c r="F797" t="n">
        <v>0.37</v>
      </c>
      <c r="G797" t="n">
        <v>-43.39</v>
      </c>
      <c r="H797" t="n">
        <v>-84.61</v>
      </c>
      <c r="I797" t="n">
        <v>0</v>
      </c>
      <c r="J797" t="n">
        <v>0</v>
      </c>
      <c r="K797" t="n">
        <v>0</v>
      </c>
      <c r="L797" t="b">
        <v>0</v>
      </c>
      <c r="M797" t="b">
        <v>0</v>
      </c>
      <c r="N797" t="inlineStr">
        <is>
          <t>AVOID</t>
        </is>
      </c>
    </row>
    <row r="798">
      <c r="A798" t="n">
        <v>797</v>
      </c>
      <c r="B798" t="inlineStr">
        <is>
          <t>BEEM</t>
        </is>
      </c>
      <c r="C798" t="inlineStr">
        <is>
          <t>2026-07-30</t>
        </is>
      </c>
      <c r="D798" t="n">
        <v>1.03</v>
      </c>
      <c r="E798" t="n">
        <v>35.48</v>
      </c>
      <c r="F798" t="n">
        <v>0.46</v>
      </c>
      <c r="G798" t="n">
        <v>-45.79</v>
      </c>
      <c r="H798" t="n">
        <v>-73.45</v>
      </c>
      <c r="I798" t="n">
        <v>0</v>
      </c>
      <c r="J798" t="n">
        <v>0</v>
      </c>
      <c r="K798" t="n">
        <v>0</v>
      </c>
      <c r="L798" t="b">
        <v>0</v>
      </c>
      <c r="M798" t="b">
        <v>0</v>
      </c>
      <c r="N798" t="inlineStr">
        <is>
          <t>AVOID</t>
        </is>
      </c>
    </row>
    <row r="799">
      <c r="A799" t="n">
        <v>798</v>
      </c>
      <c r="B799" t="inlineStr">
        <is>
          <t>EH</t>
        </is>
      </c>
      <c r="C799" t="inlineStr">
        <is>
          <t>2026-07-30</t>
        </is>
      </c>
      <c r="D799" t="n">
        <v>5.19</v>
      </c>
      <c r="E799" t="n">
        <v>40.59</v>
      </c>
      <c r="F799" t="n">
        <v>0.38</v>
      </c>
      <c r="G799" t="n">
        <v>-46.81</v>
      </c>
      <c r="H799" t="n">
        <v>-73.3</v>
      </c>
      <c r="I799" t="n">
        <v>0</v>
      </c>
      <c r="J799" t="n">
        <v>0</v>
      </c>
      <c r="K799" t="n">
        <v>0</v>
      </c>
      <c r="L799" t="b">
        <v>0</v>
      </c>
      <c r="M799" t="b">
        <v>0</v>
      </c>
      <c r="N799" t="inlineStr">
        <is>
          <t>AVOID</t>
        </is>
      </c>
    </row>
    <row r="800">
      <c r="A800" t="n">
        <v>799</v>
      </c>
      <c r="B800" t="inlineStr">
        <is>
          <t>MERC</t>
        </is>
      </c>
      <c r="C800" t="inlineStr">
        <is>
          <t>2026-07-30</t>
        </is>
      </c>
      <c r="D800" t="n">
        <v>0.59</v>
      </c>
      <c r="E800" t="n">
        <v>43.85</v>
      </c>
      <c r="F800" t="n">
        <v>0.28</v>
      </c>
      <c r="G800" t="n">
        <v>-47.12</v>
      </c>
      <c r="H800" t="n">
        <v>-85.27</v>
      </c>
      <c r="I800" t="n">
        <v>0</v>
      </c>
      <c r="J800" t="n">
        <v>0</v>
      </c>
      <c r="K800" t="n">
        <v>0</v>
      </c>
      <c r="L800" t="b">
        <v>0</v>
      </c>
      <c r="M800" t="b">
        <v>0</v>
      </c>
      <c r="N800" t="inlineStr">
        <is>
          <t>AVOID</t>
        </is>
      </c>
    </row>
    <row r="801">
      <c r="A801" t="n">
        <v>800</v>
      </c>
      <c r="B801" t="inlineStr">
        <is>
          <t>EOSE</t>
        </is>
      </c>
      <c r="C801" t="inlineStr">
        <is>
          <t>2026-07-30</t>
        </is>
      </c>
      <c r="D801" t="n">
        <v>3.44</v>
      </c>
      <c r="E801" t="n">
        <v>32.35</v>
      </c>
      <c r="F801" t="n">
        <v>0.65</v>
      </c>
      <c r="G801" t="n">
        <v>-48.58</v>
      </c>
      <c r="H801" t="n">
        <v>-82.05</v>
      </c>
      <c r="I801" t="n">
        <v>0</v>
      </c>
      <c r="J801" t="n">
        <v>0</v>
      </c>
      <c r="K801" t="n">
        <v>0</v>
      </c>
      <c r="L801" t="b">
        <v>0</v>
      </c>
      <c r="M801" t="b">
        <v>0</v>
      </c>
      <c r="N801" t="inlineStr">
        <is>
          <t>AVOID</t>
        </is>
      </c>
    </row>
    <row r="802">
      <c r="A802" t="n">
        <v>801</v>
      </c>
      <c r="B802" t="inlineStr">
        <is>
          <t>VERI</t>
        </is>
      </c>
      <c r="C802" t="inlineStr">
        <is>
          <t>2026-07-30</t>
        </is>
      </c>
      <c r="D802" t="n">
        <v>1.05</v>
      </c>
      <c r="E802" t="n">
        <v>37.78</v>
      </c>
      <c r="F802" t="n">
        <v>0.84</v>
      </c>
      <c r="G802" t="n">
        <v>-48.78</v>
      </c>
      <c r="H802" t="n">
        <v>-87.48999999999999</v>
      </c>
      <c r="I802" t="n">
        <v>0</v>
      </c>
      <c r="J802" t="n">
        <v>0</v>
      </c>
      <c r="K802" t="n">
        <v>0</v>
      </c>
      <c r="L802" t="b">
        <v>0</v>
      </c>
      <c r="M802" t="b">
        <v>0</v>
      </c>
      <c r="N802" t="inlineStr">
        <is>
          <t>AVOID</t>
        </is>
      </c>
    </row>
    <row r="803">
      <c r="A803" t="n">
        <v>802</v>
      </c>
      <c r="B803" t="inlineStr">
        <is>
          <t>CRDF</t>
        </is>
      </c>
      <c r="C803" t="inlineStr">
        <is>
          <t>2026-07-30</t>
        </is>
      </c>
      <c r="D803" t="n">
        <v>0.85</v>
      </c>
      <c r="E803" t="n">
        <v>14.72</v>
      </c>
      <c r="F803" t="n">
        <v>0.6</v>
      </c>
      <c r="G803" t="n">
        <v>-50.86</v>
      </c>
      <c r="H803" t="n">
        <v>-73.52</v>
      </c>
      <c r="I803" t="n">
        <v>0</v>
      </c>
      <c r="J803" t="n">
        <v>0</v>
      </c>
      <c r="K803" t="n">
        <v>0</v>
      </c>
      <c r="L803" t="b">
        <v>0</v>
      </c>
      <c r="M803" t="b">
        <v>0</v>
      </c>
      <c r="N803" t="inlineStr">
        <is>
          <t>AVOID</t>
        </is>
      </c>
    </row>
    <row r="804">
      <c r="A804" t="n">
        <v>803</v>
      </c>
      <c r="B804" t="inlineStr">
        <is>
          <t>CMTL</t>
        </is>
      </c>
      <c r="C804" t="inlineStr">
        <is>
          <t>2026-07-30</t>
        </is>
      </c>
      <c r="D804" t="n">
        <v>1.71</v>
      </c>
      <c r="E804" t="n">
        <v>37.5</v>
      </c>
      <c r="F804" t="n">
        <v>0.33</v>
      </c>
      <c r="G804" t="n">
        <v>-51.42</v>
      </c>
      <c r="H804" t="n">
        <v>-71.40000000000001</v>
      </c>
      <c r="I804" t="n">
        <v>0</v>
      </c>
      <c r="J804" t="n">
        <v>0</v>
      </c>
      <c r="K804" t="n">
        <v>0</v>
      </c>
      <c r="L804" t="b">
        <v>0</v>
      </c>
      <c r="M804" t="b">
        <v>0</v>
      </c>
      <c r="N804" t="inlineStr">
        <is>
          <t>AVOID</t>
        </is>
      </c>
    </row>
    <row r="805">
      <c r="A805" t="n">
        <v>804</v>
      </c>
      <c r="B805" t="inlineStr">
        <is>
          <t>NFE</t>
        </is>
      </c>
      <c r="C805" t="inlineStr">
        <is>
          <t>2026-07-30</t>
        </is>
      </c>
      <c r="D805" t="n">
        <v>0.33</v>
      </c>
      <c r="E805" t="n">
        <v>44.58</v>
      </c>
      <c r="F805" t="n">
        <v>0.59</v>
      </c>
      <c r="G805" t="n">
        <v>-51.86</v>
      </c>
      <c r="H805" t="n">
        <v>-89.81</v>
      </c>
      <c r="I805" t="n">
        <v>0</v>
      </c>
      <c r="J805" t="n">
        <v>0</v>
      </c>
      <c r="K805" t="n">
        <v>0</v>
      </c>
      <c r="L805" t="b">
        <v>0</v>
      </c>
      <c r="M805" t="b">
        <v>0</v>
      </c>
      <c r="N805" t="inlineStr">
        <is>
          <t>AVOID</t>
        </is>
      </c>
    </row>
    <row r="806">
      <c r="A806" t="n">
        <v>805</v>
      </c>
      <c r="B806" t="inlineStr">
        <is>
          <t>SPRO</t>
        </is>
      </c>
      <c r="C806" t="inlineStr">
        <is>
          <t>2026-07-30</t>
        </is>
      </c>
      <c r="D806" t="n">
        <v>1.2</v>
      </c>
      <c r="E806" t="n">
        <v>11.81</v>
      </c>
      <c r="F806" t="n">
        <v>0.13</v>
      </c>
      <c r="G806" t="n">
        <v>-52.39</v>
      </c>
      <c r="H806" t="n">
        <v>-59.9</v>
      </c>
      <c r="I806" t="n">
        <v>0</v>
      </c>
      <c r="J806" t="n">
        <v>0</v>
      </c>
      <c r="K806" t="n">
        <v>0</v>
      </c>
      <c r="L806" t="b">
        <v>0</v>
      </c>
      <c r="M806" t="b">
        <v>0</v>
      </c>
      <c r="N806" t="inlineStr">
        <is>
          <t>AVOID</t>
        </is>
      </c>
    </row>
    <row r="807">
      <c r="A807" t="n">
        <v>806</v>
      </c>
      <c r="B807" t="inlineStr">
        <is>
          <t>PRIM</t>
        </is>
      </c>
      <c r="C807" t="inlineStr">
        <is>
          <t>2026-07-30</t>
        </is>
      </c>
      <c r="D807" t="n">
        <v>83.64</v>
      </c>
      <c r="E807" t="n">
        <v>46.39</v>
      </c>
      <c r="F807" t="n">
        <v>0.5600000000000001</v>
      </c>
      <c r="G807" t="n">
        <v>-53.79</v>
      </c>
      <c r="H807" t="n">
        <v>-58.75</v>
      </c>
      <c r="I807" t="n">
        <v>0</v>
      </c>
      <c r="J807" t="n">
        <v>25</v>
      </c>
      <c r="K807" t="n">
        <v>0</v>
      </c>
      <c r="L807" t="b">
        <v>0</v>
      </c>
      <c r="M807" t="b">
        <v>0</v>
      </c>
      <c r="N807" t="inlineStr">
        <is>
          <t>AVOID</t>
        </is>
      </c>
    </row>
    <row r="808">
      <c r="A808" t="n">
        <v>807</v>
      </c>
      <c r="B808" t="inlineStr">
        <is>
          <t>SPWR</t>
        </is>
      </c>
      <c r="C808" t="inlineStr">
        <is>
          <t>2026-07-30</t>
        </is>
      </c>
      <c r="D808" t="n">
        <v>0.31</v>
      </c>
      <c r="E808" t="n">
        <v>16.63</v>
      </c>
      <c r="F808" t="n">
        <v>0.74</v>
      </c>
      <c r="G808" t="n">
        <v>-62.9</v>
      </c>
      <c r="H808" t="n">
        <v>-85.44</v>
      </c>
      <c r="I808" t="n">
        <v>0</v>
      </c>
      <c r="J808" t="n">
        <v>0</v>
      </c>
      <c r="K808" t="n">
        <v>0</v>
      </c>
      <c r="L808" t="b">
        <v>0</v>
      </c>
      <c r="M808" t="b">
        <v>0</v>
      </c>
      <c r="N808" t="inlineStr">
        <is>
          <t>AVOID</t>
        </is>
      </c>
    </row>
    <row r="809">
      <c r="A809" t="n">
        <v>808</v>
      </c>
      <c r="B809" t="inlineStr">
        <is>
          <t>CRMT</t>
        </is>
      </c>
      <c r="C809" t="inlineStr">
        <is>
          <t>2026-07-30</t>
        </is>
      </c>
      <c r="D809" t="n">
        <v>3.19</v>
      </c>
      <c r="E809" t="n">
        <v>49.41</v>
      </c>
      <c r="F809" t="n">
        <v>0.15</v>
      </c>
      <c r="G809" t="n">
        <v>-73.87</v>
      </c>
      <c r="H809" t="n">
        <v>-93.28</v>
      </c>
      <c r="I809" t="n">
        <v>0</v>
      </c>
      <c r="J809" t="n">
        <v>25</v>
      </c>
      <c r="K809" t="n">
        <v>0</v>
      </c>
      <c r="L809" t="b">
        <v>0</v>
      </c>
      <c r="M809" t="b">
        <v>0</v>
      </c>
      <c r="N809" t="inlineStr">
        <is>
          <t>AVOID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B7"/>
    </sheetView>
  </sheetViews>
  <sheetFormatPr baseColWidth="8" defaultRowHeight="15"/>
  <sheetData>
    <row r="1">
      <c r="A1" t="inlineStr">
        <is>
          <t>MARKET HEALTH</t>
        </is>
      </c>
    </row>
    <row r="2">
      <c r="A2" t="inlineStr">
        <is>
          <t>SPY</t>
        </is>
      </c>
      <c r="B2">
        <f>_xlfn.XLOOKUP("SPY",Indicators!A:A,Indicators!J:J)</f>
        <v/>
      </c>
    </row>
    <row r="3">
      <c r="A3" t="inlineStr">
        <is>
          <t>QQQ</t>
        </is>
      </c>
      <c r="B3">
        <f>_xlfn.XLOOKUP("QQQ",Indicators!A:A,Indicators!J:J)</f>
        <v/>
      </c>
    </row>
    <row r="4">
      <c r="A4" t="inlineStr">
        <is>
          <t>IWM</t>
        </is>
      </c>
      <c r="B4">
        <f>_xlfn.XLOOKUP("IWM",Indicators!A:A,Indicators!J:J)</f>
        <v/>
      </c>
    </row>
    <row r="6">
      <c r="A6" t="inlineStr">
        <is>
          <t>Score</t>
        </is>
      </c>
      <c r="B6">
        <f>AVERAGE(B2:B4)</f>
        <v/>
      </c>
    </row>
    <row r="7">
      <c r="A7" t="inlineStr">
        <is>
          <t>Regime</t>
        </is>
      </c>
      <c r="B7">
        <f>IF(B6&gt;=70,"BULLISH",
IF(B6&gt;=50,"NEUTRAL",
"BEARISH"))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09"/>
  <sheetViews>
    <sheetView zoomScale="80" zoomScaleNormal="80" workbookViewId="0">
      <selection activeCell="G2" sqref="G2"/>
    </sheetView>
  </sheetViews>
  <sheetFormatPr baseColWidth="8" defaultRowHeight="15"/>
  <cols>
    <col width="9.140625" bestFit="1" customWidth="1" style="63" min="1" max="1"/>
    <col width="11.28515625" bestFit="1" customWidth="1" style="63" min="2" max="2"/>
    <col width="11.42578125" bestFit="1" customWidth="1" style="63" min="4" max="4"/>
  </cols>
  <sheetData>
    <row r="1">
      <c r="A1" t="inlineStr">
        <is>
          <t>Symbol</t>
        </is>
      </c>
      <c r="B1" t="inlineStr">
        <is>
          <t>Date</t>
        </is>
      </c>
      <c r="C1" t="inlineStr">
        <is>
          <t>Price</t>
        </is>
      </c>
      <c r="D1" t="inlineStr">
        <is>
          <t>RSI</t>
        </is>
      </c>
      <c r="E1" t="inlineStr">
        <is>
          <t>RVOL</t>
        </is>
      </c>
      <c r="F1" t="inlineStr">
        <is>
          <t>Return3M</t>
        </is>
      </c>
      <c r="G1" t="inlineStr">
        <is>
          <t>Dist52High</t>
        </is>
      </c>
      <c r="H1" t="inlineStr">
        <is>
          <t>TrendScore</t>
        </is>
      </c>
      <c r="I1" t="inlineStr">
        <is>
          <t>EntryScore</t>
        </is>
      </c>
      <c r="J1" t="inlineStr">
        <is>
          <t>AlphaScore</t>
        </is>
      </c>
      <c r="K1" t="inlineStr">
        <is>
          <t>EliteLeader</t>
        </is>
      </c>
      <c r="L1" t="inlineStr">
        <is>
          <t>InstitutionalAccumulation</t>
        </is>
      </c>
      <c r="M1" t="inlineStr">
        <is>
          <t>Decision</t>
        </is>
      </c>
    </row>
    <row r="2">
      <c r="A2" t="inlineStr">
        <is>
          <t>AAL</t>
        </is>
      </c>
      <c r="B2" t="inlineStr">
        <is>
          <t>2026-07-30</t>
        </is>
      </c>
      <c r="C2" t="n">
        <v>15.32</v>
      </c>
      <c r="D2" t="n">
        <v>38.04</v>
      </c>
      <c r="E2" t="n">
        <v>0.28</v>
      </c>
      <c r="F2" t="n">
        <v>30.87</v>
      </c>
      <c r="G2" t="n">
        <v>-15.56</v>
      </c>
      <c r="H2" t="n">
        <v>35</v>
      </c>
      <c r="I2" t="n">
        <v>40</v>
      </c>
      <c r="J2" t="n">
        <v>65</v>
      </c>
      <c r="K2" t="b">
        <v>0</v>
      </c>
      <c r="L2" t="b">
        <v>0</v>
      </c>
      <c r="M2" t="inlineStr">
        <is>
          <t>AVOID</t>
        </is>
      </c>
    </row>
    <row r="3">
      <c r="A3" t="inlineStr">
        <is>
          <t>AAON</t>
        </is>
      </c>
      <c r="B3" t="inlineStr">
        <is>
          <t>2026-07-30</t>
        </is>
      </c>
      <c r="C3" t="n">
        <v>87.81999999999999</v>
      </c>
      <c r="D3" t="n">
        <v>18.55</v>
      </c>
      <c r="E3" t="n">
        <v>0.83</v>
      </c>
      <c r="F3" t="n">
        <v>-5.81</v>
      </c>
      <c r="G3" t="n">
        <v>-40.72</v>
      </c>
      <c r="H3" t="n">
        <v>10</v>
      </c>
      <c r="I3" t="n">
        <v>0</v>
      </c>
      <c r="J3" t="n">
        <v>10</v>
      </c>
      <c r="K3" t="b">
        <v>0</v>
      </c>
      <c r="L3" t="b">
        <v>0</v>
      </c>
      <c r="M3" t="inlineStr">
        <is>
          <t>AVOID</t>
        </is>
      </c>
    </row>
    <row r="4">
      <c r="A4" t="inlineStr">
        <is>
          <t>AAPL</t>
        </is>
      </c>
      <c r="B4" t="inlineStr">
        <is>
          <t>2026-07-30</t>
        </is>
      </c>
      <c r="C4" t="n">
        <v>333.92</v>
      </c>
      <c r="D4" t="n">
        <v>64.93000000000001</v>
      </c>
      <c r="E4" t="n">
        <v>0.74</v>
      </c>
      <c r="F4" t="n">
        <v>23.17</v>
      </c>
      <c r="G4" t="n">
        <v>-1.81</v>
      </c>
      <c r="H4" t="n">
        <v>60</v>
      </c>
      <c r="I4" t="n">
        <v>85</v>
      </c>
      <c r="J4" t="n">
        <v>100</v>
      </c>
      <c r="K4" t="b">
        <v>0</v>
      </c>
      <c r="L4" t="b">
        <v>0</v>
      </c>
      <c r="M4" t="inlineStr">
        <is>
          <t>HIGH CONVICTION</t>
        </is>
      </c>
    </row>
    <row r="5">
      <c r="A5" t="inlineStr">
        <is>
          <t>ABCB</t>
        </is>
      </c>
      <c r="B5" t="inlineStr">
        <is>
          <t>2026-07-30</t>
        </is>
      </c>
      <c r="C5" t="n">
        <v>87.95999999999999</v>
      </c>
      <c r="D5" t="n">
        <v>40.66</v>
      </c>
      <c r="E5" t="n">
        <v>0.25</v>
      </c>
      <c r="F5" t="n">
        <v>3.4</v>
      </c>
      <c r="G5" t="n">
        <v>-5.6</v>
      </c>
      <c r="H5" t="n">
        <v>45</v>
      </c>
      <c r="I5" t="n">
        <v>60</v>
      </c>
      <c r="J5" t="n">
        <v>55</v>
      </c>
      <c r="K5" t="b">
        <v>0</v>
      </c>
      <c r="L5" t="b">
        <v>0</v>
      </c>
      <c r="M5" t="inlineStr">
        <is>
          <t>AVOID</t>
        </is>
      </c>
    </row>
    <row r="6">
      <c r="A6" t="inlineStr">
        <is>
          <t>ABCL</t>
        </is>
      </c>
      <c r="B6" t="inlineStr">
        <is>
          <t>2026-07-30</t>
        </is>
      </c>
      <c r="C6" t="n">
        <v>5.53</v>
      </c>
      <c r="D6" t="n">
        <v>30.39</v>
      </c>
      <c r="E6" t="n">
        <v>0.53</v>
      </c>
      <c r="F6" t="n">
        <v>33.37</v>
      </c>
      <c r="G6" t="n">
        <v>-31.83</v>
      </c>
      <c r="H6" t="n">
        <v>35</v>
      </c>
      <c r="I6" t="n">
        <v>25</v>
      </c>
      <c r="J6" t="n">
        <v>65</v>
      </c>
      <c r="K6" t="b">
        <v>0</v>
      </c>
      <c r="L6" t="b">
        <v>0</v>
      </c>
      <c r="M6" t="inlineStr">
        <is>
          <t>AVOID</t>
        </is>
      </c>
    </row>
    <row r="7">
      <c r="A7" t="inlineStr">
        <is>
          <t>ABNB</t>
        </is>
      </c>
      <c r="B7" t="inlineStr">
        <is>
          <t>2026-07-30</t>
        </is>
      </c>
      <c r="C7" t="n">
        <v>151.75</v>
      </c>
      <c r="D7" t="n">
        <v>54.88</v>
      </c>
      <c r="E7" t="n">
        <v>0.38</v>
      </c>
      <c r="F7" t="n">
        <v>8.109999999999999</v>
      </c>
      <c r="G7" t="n">
        <v>-0.89</v>
      </c>
      <c r="H7" t="n">
        <v>60</v>
      </c>
      <c r="I7" t="n">
        <v>70</v>
      </c>
      <c r="J7" t="n">
        <v>90</v>
      </c>
      <c r="K7" t="b">
        <v>0</v>
      </c>
      <c r="L7" t="b">
        <v>0</v>
      </c>
      <c r="M7" t="inlineStr">
        <is>
          <t>WATCH</t>
        </is>
      </c>
    </row>
    <row r="8">
      <c r="A8" t="inlineStr">
        <is>
          <t>ACAD</t>
        </is>
      </c>
      <c r="B8" t="inlineStr">
        <is>
          <t>2026-07-30</t>
        </is>
      </c>
      <c r="C8" t="n">
        <v>26.44</v>
      </c>
      <c r="D8" t="n">
        <v>52.42</v>
      </c>
      <c r="E8" t="n">
        <v>0.57</v>
      </c>
      <c r="F8" t="n">
        <v>17.77</v>
      </c>
      <c r="G8" t="n">
        <v>-5.77</v>
      </c>
      <c r="H8" t="n">
        <v>50</v>
      </c>
      <c r="I8" t="n">
        <v>85</v>
      </c>
      <c r="J8" t="n">
        <v>70</v>
      </c>
      <c r="K8" t="b">
        <v>0</v>
      </c>
      <c r="L8" t="b">
        <v>0</v>
      </c>
      <c r="M8" t="inlineStr">
        <is>
          <t>AVOID</t>
        </is>
      </c>
    </row>
    <row r="9">
      <c r="A9" t="inlineStr">
        <is>
          <t>ACGL</t>
        </is>
      </c>
      <c r="B9" t="inlineStr">
        <is>
          <t>2026-07-30</t>
        </is>
      </c>
      <c r="C9" t="n">
        <v>100.4</v>
      </c>
      <c r="D9" t="n">
        <v>48.78</v>
      </c>
      <c r="E9" t="n">
        <v>0.61</v>
      </c>
      <c r="F9" t="n">
        <v>6.29</v>
      </c>
      <c r="G9" t="n">
        <v>-5.71</v>
      </c>
      <c r="H9" t="n">
        <v>45</v>
      </c>
      <c r="I9" t="n">
        <v>85</v>
      </c>
      <c r="J9" t="n">
        <v>55</v>
      </c>
      <c r="K9" t="b">
        <v>0</v>
      </c>
      <c r="L9" t="b">
        <v>0</v>
      </c>
      <c r="M9" t="inlineStr">
        <is>
          <t>AVOID</t>
        </is>
      </c>
    </row>
    <row r="10">
      <c r="A10" t="inlineStr">
        <is>
          <t>ACHC</t>
        </is>
      </c>
      <c r="B10" t="inlineStr">
        <is>
          <t>2026-07-30</t>
        </is>
      </c>
      <c r="C10" t="n">
        <v>28.59</v>
      </c>
      <c r="D10" t="n">
        <v>42.01</v>
      </c>
      <c r="E10" t="n">
        <v>0.54</v>
      </c>
      <c r="F10" t="n">
        <v>10.41</v>
      </c>
      <c r="G10" t="n">
        <v>-19.7</v>
      </c>
      <c r="H10" t="n">
        <v>45</v>
      </c>
      <c r="I10" t="n">
        <v>45</v>
      </c>
      <c r="J10" t="n">
        <v>55</v>
      </c>
      <c r="K10" t="b">
        <v>0</v>
      </c>
      <c r="L10" t="b">
        <v>0</v>
      </c>
      <c r="M10" t="inlineStr">
        <is>
          <t>AVOID</t>
        </is>
      </c>
    </row>
    <row r="11">
      <c r="A11" t="inlineStr">
        <is>
          <t>ACIW</t>
        </is>
      </c>
      <c r="B11" t="inlineStr">
        <is>
          <t>2026-07-30</t>
        </is>
      </c>
      <c r="C11" t="n">
        <v>58.06</v>
      </c>
      <c r="D11" t="n">
        <v>54.88</v>
      </c>
      <c r="E11" t="n">
        <v>0.39</v>
      </c>
      <c r="F11" t="n">
        <v>34.34</v>
      </c>
      <c r="G11" t="n">
        <v>-3.52</v>
      </c>
      <c r="H11" t="n">
        <v>60</v>
      </c>
      <c r="I11" t="n">
        <v>85</v>
      </c>
      <c r="J11" t="n">
        <v>100</v>
      </c>
      <c r="K11" t="b">
        <v>0</v>
      </c>
      <c r="L11" t="b">
        <v>0</v>
      </c>
      <c r="M11" t="inlineStr">
        <is>
          <t>HIGH CONVICTION</t>
        </is>
      </c>
    </row>
    <row r="12">
      <c r="A12" t="inlineStr">
        <is>
          <t>ACLS</t>
        </is>
      </c>
      <c r="B12" t="inlineStr">
        <is>
          <t>2026-07-30</t>
        </is>
      </c>
      <c r="C12" t="n">
        <v>125.67</v>
      </c>
      <c r="D12" t="n">
        <v>39.58</v>
      </c>
      <c r="E12" t="n">
        <v>0.38</v>
      </c>
      <c r="F12" t="n">
        <v>-9.67</v>
      </c>
      <c r="G12" t="n">
        <v>-34.41</v>
      </c>
      <c r="H12" t="n">
        <v>25</v>
      </c>
      <c r="I12" t="n">
        <v>25</v>
      </c>
      <c r="J12" t="n">
        <v>25</v>
      </c>
      <c r="K12" t="b">
        <v>0</v>
      </c>
      <c r="L12" t="b">
        <v>0</v>
      </c>
      <c r="M12" t="inlineStr">
        <is>
          <t>AVOID</t>
        </is>
      </c>
    </row>
    <row r="13">
      <c r="A13" t="inlineStr">
        <is>
          <t>ACMR</t>
        </is>
      </c>
      <c r="B13" t="inlineStr">
        <is>
          <t>2026-07-30</t>
        </is>
      </c>
      <c r="C13" t="n">
        <v>77.47</v>
      </c>
      <c r="D13" t="n">
        <v>34.99</v>
      </c>
      <c r="E13" t="n">
        <v>0.9399999999999999</v>
      </c>
      <c r="F13" t="n">
        <v>49.88</v>
      </c>
      <c r="G13" t="n">
        <v>-38.94</v>
      </c>
      <c r="H13" t="n">
        <v>25</v>
      </c>
      <c r="I13" t="n">
        <v>25</v>
      </c>
      <c r="J13" t="n">
        <v>55</v>
      </c>
      <c r="K13" t="b">
        <v>0</v>
      </c>
      <c r="L13" t="b">
        <v>0</v>
      </c>
      <c r="M13" t="inlineStr">
        <is>
          <t>AVOID</t>
        </is>
      </c>
    </row>
    <row r="14">
      <c r="A14" t="inlineStr">
        <is>
          <t>ACRS</t>
        </is>
      </c>
      <c r="B14" t="inlineStr">
        <is>
          <t>2026-07-30</t>
        </is>
      </c>
      <c r="C14" t="n">
        <v>5.39</v>
      </c>
      <c r="D14" t="n">
        <v>45.86</v>
      </c>
      <c r="E14" t="n">
        <v>0.44</v>
      </c>
      <c r="F14" t="n">
        <v>24.31</v>
      </c>
      <c r="G14" t="n">
        <v>-5.52</v>
      </c>
      <c r="H14" t="n">
        <v>45</v>
      </c>
      <c r="I14" t="n">
        <v>85</v>
      </c>
      <c r="J14" t="n">
        <v>75</v>
      </c>
      <c r="K14" t="b">
        <v>0</v>
      </c>
      <c r="L14" t="b">
        <v>0</v>
      </c>
      <c r="M14" t="inlineStr">
        <is>
          <t>AVOID</t>
        </is>
      </c>
    </row>
    <row r="15">
      <c r="A15" t="inlineStr">
        <is>
          <t>ADBE</t>
        </is>
      </c>
      <c r="B15" t="inlineStr">
        <is>
          <t>2026-07-30</t>
        </is>
      </c>
      <c r="C15" t="n">
        <v>248.21</v>
      </c>
      <c r="D15" t="n">
        <v>59.84</v>
      </c>
      <c r="E15" t="n">
        <v>0.84</v>
      </c>
      <c r="F15" t="n">
        <v>0.86</v>
      </c>
      <c r="G15" t="n">
        <v>-32.45</v>
      </c>
      <c r="H15" t="n">
        <v>35</v>
      </c>
      <c r="I15" t="n">
        <v>45</v>
      </c>
      <c r="J15" t="n">
        <v>35</v>
      </c>
      <c r="K15" t="b">
        <v>0</v>
      </c>
      <c r="L15" t="b">
        <v>0</v>
      </c>
      <c r="M15" t="inlineStr">
        <is>
          <t>AVOID</t>
        </is>
      </c>
    </row>
    <row r="16">
      <c r="A16" t="inlineStr">
        <is>
          <t>ADI</t>
        </is>
      </c>
      <c r="B16" t="inlineStr">
        <is>
          <t>2026-07-30</t>
        </is>
      </c>
      <c r="C16" t="n">
        <v>365.47</v>
      </c>
      <c r="D16" t="n">
        <v>34.36</v>
      </c>
      <c r="E16" t="n">
        <v>0.71</v>
      </c>
      <c r="F16" t="n">
        <v>-8.9</v>
      </c>
      <c r="G16" t="n">
        <v>-17.96</v>
      </c>
      <c r="H16" t="n">
        <v>25</v>
      </c>
      <c r="I16" t="n">
        <v>25</v>
      </c>
      <c r="J16" t="n">
        <v>25</v>
      </c>
      <c r="K16" t="b">
        <v>0</v>
      </c>
      <c r="L16" t="b">
        <v>0</v>
      </c>
      <c r="M16" t="inlineStr">
        <is>
          <t>AVOID</t>
        </is>
      </c>
    </row>
    <row r="17">
      <c r="A17" t="inlineStr">
        <is>
          <t>ADP</t>
        </is>
      </c>
      <c r="B17" t="inlineStr">
        <is>
          <t>2026-07-30</t>
        </is>
      </c>
      <c r="C17" t="n">
        <v>263.21</v>
      </c>
      <c r="D17" t="n">
        <v>63.61</v>
      </c>
      <c r="E17" t="n">
        <v>0.67</v>
      </c>
      <c r="F17" t="n">
        <v>25.13</v>
      </c>
      <c r="G17" t="n">
        <v>-13</v>
      </c>
      <c r="H17" t="n">
        <v>60</v>
      </c>
      <c r="I17" t="n">
        <v>70</v>
      </c>
      <c r="J17" t="n">
        <v>80</v>
      </c>
      <c r="K17" t="b">
        <v>0</v>
      </c>
      <c r="L17" t="b">
        <v>0</v>
      </c>
      <c r="M17" t="inlineStr">
        <is>
          <t>AVOID</t>
        </is>
      </c>
    </row>
    <row r="18">
      <c r="A18" t="inlineStr">
        <is>
          <t>ADPT</t>
        </is>
      </c>
      <c r="B18" t="inlineStr">
        <is>
          <t>2026-07-30</t>
        </is>
      </c>
      <c r="C18" t="n">
        <v>23.53</v>
      </c>
      <c r="D18" t="n">
        <v>66.14</v>
      </c>
      <c r="E18" t="n">
        <v>1.24</v>
      </c>
      <c r="F18" t="n">
        <v>66.88</v>
      </c>
      <c r="G18" t="n">
        <v>0</v>
      </c>
      <c r="H18" t="n">
        <v>60</v>
      </c>
      <c r="I18" t="n">
        <v>60</v>
      </c>
      <c r="J18" t="n">
        <v>100</v>
      </c>
      <c r="K18" t="b">
        <v>1</v>
      </c>
      <c r="L18" t="b">
        <v>0</v>
      </c>
      <c r="M18" t="inlineStr">
        <is>
          <t>ELITE LEADER</t>
        </is>
      </c>
    </row>
    <row r="19">
      <c r="A19" t="inlineStr">
        <is>
          <t>ADSK</t>
        </is>
      </c>
      <c r="B19" t="inlineStr">
        <is>
          <t>2026-07-30</t>
        </is>
      </c>
      <c r="C19" t="n">
        <v>235.2</v>
      </c>
      <c r="D19" t="n">
        <v>65</v>
      </c>
      <c r="E19" t="n">
        <v>0.66</v>
      </c>
      <c r="F19" t="n">
        <v>-0.76</v>
      </c>
      <c r="G19" t="n">
        <v>-28.03</v>
      </c>
      <c r="H19" t="n">
        <v>25</v>
      </c>
      <c r="I19" t="n">
        <v>20</v>
      </c>
      <c r="J19" t="n">
        <v>25</v>
      </c>
      <c r="K19" t="b">
        <v>0</v>
      </c>
      <c r="L19" t="b">
        <v>0</v>
      </c>
      <c r="M19" t="inlineStr">
        <is>
          <t>AVOID</t>
        </is>
      </c>
    </row>
    <row r="20">
      <c r="A20" t="inlineStr">
        <is>
          <t>ADTN</t>
        </is>
      </c>
      <c r="B20" t="inlineStr">
        <is>
          <t>2026-07-30</t>
        </is>
      </c>
      <c r="C20" t="n">
        <v>8.27</v>
      </c>
      <c r="D20" t="n">
        <v>10.77</v>
      </c>
      <c r="E20" t="n">
        <v>1.85</v>
      </c>
      <c r="F20" t="n">
        <v>-53.25</v>
      </c>
      <c r="G20" t="n">
        <v>-57.37</v>
      </c>
      <c r="H20" t="n">
        <v>10</v>
      </c>
      <c r="I20" t="n">
        <v>15</v>
      </c>
      <c r="J20" t="n">
        <v>30</v>
      </c>
      <c r="K20" t="b">
        <v>0</v>
      </c>
      <c r="L20" t="b">
        <v>0</v>
      </c>
      <c r="M20" t="inlineStr">
        <is>
          <t>AVOID</t>
        </is>
      </c>
    </row>
    <row r="21">
      <c r="A21" t="inlineStr">
        <is>
          <t>AEIS</t>
        </is>
      </c>
      <c r="B21" t="inlineStr">
        <is>
          <t>2026-07-30</t>
        </is>
      </c>
      <c r="C21" t="n">
        <v>270.11</v>
      </c>
      <c r="D21" t="n">
        <v>38.13</v>
      </c>
      <c r="E21" t="n">
        <v>1.15</v>
      </c>
      <c r="F21" t="n">
        <v>-29.62</v>
      </c>
      <c r="G21" t="n">
        <v>-30.55</v>
      </c>
      <c r="H21" t="n">
        <v>10</v>
      </c>
      <c r="I21" t="n">
        <v>15</v>
      </c>
      <c r="J21" t="n">
        <v>10</v>
      </c>
      <c r="K21" t="b">
        <v>0</v>
      </c>
      <c r="L21" t="b">
        <v>0</v>
      </c>
      <c r="M21" t="inlineStr">
        <is>
          <t>AVOID</t>
        </is>
      </c>
    </row>
    <row r="22">
      <c r="A22" t="inlineStr">
        <is>
          <t>AEP</t>
        </is>
      </c>
      <c r="B22" t="inlineStr">
        <is>
          <t>2026-07-30</t>
        </is>
      </c>
      <c r="C22" t="n">
        <v>127.86</v>
      </c>
      <c r="D22" t="n">
        <v>30.44</v>
      </c>
      <c r="E22" t="n">
        <v>0.85</v>
      </c>
      <c r="F22" t="n">
        <v>-6.07</v>
      </c>
      <c r="G22" t="n">
        <v>-7.81</v>
      </c>
      <c r="H22" t="n">
        <v>35</v>
      </c>
      <c r="I22" t="n">
        <v>25</v>
      </c>
      <c r="J22" t="n">
        <v>45</v>
      </c>
      <c r="K22" t="b">
        <v>0</v>
      </c>
      <c r="L22" t="b">
        <v>0</v>
      </c>
      <c r="M22" t="inlineStr">
        <is>
          <t>AVOID</t>
        </is>
      </c>
    </row>
    <row r="23">
      <c r="A23" t="inlineStr">
        <is>
          <t>AFRM</t>
        </is>
      </c>
      <c r="B23" t="inlineStr">
        <is>
          <t>2026-07-30</t>
        </is>
      </c>
      <c r="C23" t="n">
        <v>72.42</v>
      </c>
      <c r="D23" t="n">
        <v>29.09</v>
      </c>
      <c r="E23" t="n">
        <v>0.51</v>
      </c>
      <c r="F23" t="n">
        <v>12.66</v>
      </c>
      <c r="G23" t="n">
        <v>-21.44</v>
      </c>
      <c r="H23" t="n">
        <v>35</v>
      </c>
      <c r="I23" t="n">
        <v>25</v>
      </c>
      <c r="J23" t="n">
        <v>45</v>
      </c>
      <c r="K23" t="b">
        <v>0</v>
      </c>
      <c r="L23" t="b">
        <v>0</v>
      </c>
      <c r="M23" t="inlineStr">
        <is>
          <t>AVOID</t>
        </is>
      </c>
    </row>
    <row r="24">
      <c r="A24" t="inlineStr">
        <is>
          <t>AGIO</t>
        </is>
      </c>
      <c r="B24" t="inlineStr">
        <is>
          <t>2026-07-30</t>
        </is>
      </c>
      <c r="C24" t="n">
        <v>32.91</v>
      </c>
      <c r="D24" t="n">
        <v>17.6</v>
      </c>
      <c r="E24" t="n">
        <v>2.05</v>
      </c>
      <c r="F24" t="n">
        <v>17.54</v>
      </c>
      <c r="G24" t="n">
        <v>-27.65</v>
      </c>
      <c r="H24" t="n">
        <v>35</v>
      </c>
      <c r="I24" t="n">
        <v>40</v>
      </c>
      <c r="J24" t="n">
        <v>75</v>
      </c>
      <c r="K24" t="b">
        <v>0</v>
      </c>
      <c r="L24" t="b">
        <v>0</v>
      </c>
      <c r="M24" t="inlineStr">
        <is>
          <t>AVOID</t>
        </is>
      </c>
    </row>
    <row r="25">
      <c r="A25" t="inlineStr">
        <is>
          <t>AGNC</t>
        </is>
      </c>
      <c r="B25" t="inlineStr">
        <is>
          <t>2026-07-30</t>
        </is>
      </c>
      <c r="C25" t="n">
        <v>10.91</v>
      </c>
      <c r="D25" t="n">
        <v>44.86</v>
      </c>
      <c r="E25" t="n">
        <v>0.73</v>
      </c>
      <c r="F25" t="n">
        <v>1.25</v>
      </c>
      <c r="G25" t="n">
        <v>-4.55</v>
      </c>
      <c r="H25" t="n">
        <v>45</v>
      </c>
      <c r="I25" t="n">
        <v>60</v>
      </c>
      <c r="J25" t="n">
        <v>65</v>
      </c>
      <c r="K25" t="b">
        <v>0</v>
      </c>
      <c r="L25" t="b">
        <v>0</v>
      </c>
      <c r="M25" t="inlineStr">
        <is>
          <t>AVOID</t>
        </is>
      </c>
    </row>
    <row r="26">
      <c r="A26" t="inlineStr">
        <is>
          <t>AHCO</t>
        </is>
      </c>
      <c r="B26" t="inlineStr">
        <is>
          <t>2026-07-30</t>
        </is>
      </c>
      <c r="C26" t="n">
        <v>10.7</v>
      </c>
      <c r="D26" t="n">
        <v>57.52</v>
      </c>
      <c r="E26" t="n">
        <v>0.37</v>
      </c>
      <c r="F26" t="n">
        <v>-18.38</v>
      </c>
      <c r="G26" t="n">
        <v>-20.02</v>
      </c>
      <c r="H26" t="n">
        <v>50</v>
      </c>
      <c r="I26" t="n">
        <v>85</v>
      </c>
      <c r="J26" t="n">
        <v>50</v>
      </c>
      <c r="K26" t="b">
        <v>0</v>
      </c>
      <c r="L26" t="b">
        <v>0</v>
      </c>
      <c r="M26" t="inlineStr">
        <is>
          <t>AVOID</t>
        </is>
      </c>
    </row>
    <row r="27">
      <c r="A27" t="inlineStr">
        <is>
          <t>AKAM</t>
        </is>
      </c>
      <c r="B27" t="inlineStr">
        <is>
          <t>2026-07-30</t>
        </is>
      </c>
      <c r="C27" t="n">
        <v>112.46</v>
      </c>
      <c r="D27" t="n">
        <v>31.93</v>
      </c>
      <c r="E27" t="n">
        <v>0.45</v>
      </c>
      <c r="F27" t="n">
        <v>9.210000000000001</v>
      </c>
      <c r="G27" t="n">
        <v>-30.21</v>
      </c>
      <c r="H27" t="n">
        <v>25</v>
      </c>
      <c r="I27" t="n">
        <v>25</v>
      </c>
      <c r="J27" t="n">
        <v>25</v>
      </c>
      <c r="K27" t="b">
        <v>0</v>
      </c>
      <c r="L27" t="b">
        <v>0</v>
      </c>
      <c r="M27" t="inlineStr">
        <is>
          <t>AVOID</t>
        </is>
      </c>
    </row>
    <row r="28">
      <c r="A28" t="inlineStr">
        <is>
          <t>ALDX</t>
        </is>
      </c>
      <c r="B28" t="inlineStr">
        <is>
          <t>2026-07-30</t>
        </is>
      </c>
      <c r="C28" t="n">
        <v>1.61</v>
      </c>
      <c r="D28" t="n">
        <v>20.13</v>
      </c>
      <c r="E28" t="n">
        <v>0.25</v>
      </c>
      <c r="F28" t="n">
        <v>5.92</v>
      </c>
      <c r="G28" t="n">
        <v>-72.67</v>
      </c>
      <c r="H28" t="n">
        <v>10</v>
      </c>
      <c r="I28" t="n">
        <v>0</v>
      </c>
      <c r="J28" t="n">
        <v>10</v>
      </c>
      <c r="K28" t="b">
        <v>0</v>
      </c>
      <c r="L28" t="b">
        <v>0</v>
      </c>
      <c r="M28" t="inlineStr">
        <is>
          <t>AVOID</t>
        </is>
      </c>
    </row>
    <row r="29">
      <c r="A29" t="inlineStr">
        <is>
          <t>ALEC</t>
        </is>
      </c>
      <c r="B29" t="inlineStr">
        <is>
          <t>2026-07-30</t>
        </is>
      </c>
      <c r="C29" t="n">
        <v>1.66</v>
      </c>
      <c r="D29" t="n">
        <v>53.37</v>
      </c>
      <c r="E29" t="n">
        <v>0.51</v>
      </c>
      <c r="F29" t="n">
        <v>-29.75</v>
      </c>
      <c r="G29" t="n">
        <v>-49.85</v>
      </c>
      <c r="H29" t="n">
        <v>15</v>
      </c>
      <c r="I29" t="n">
        <v>25</v>
      </c>
      <c r="J29" t="n">
        <v>15</v>
      </c>
      <c r="K29" t="b">
        <v>0</v>
      </c>
      <c r="L29" t="b">
        <v>0</v>
      </c>
      <c r="M29" t="inlineStr">
        <is>
          <t>AVOID</t>
        </is>
      </c>
    </row>
    <row r="30">
      <c r="A30" t="inlineStr">
        <is>
          <t>ALGM</t>
        </is>
      </c>
      <c r="B30" t="inlineStr">
        <is>
          <t>2026-07-30</t>
        </is>
      </c>
      <c r="C30" t="n">
        <v>39.24</v>
      </c>
      <c r="D30" t="n">
        <v>21.6</v>
      </c>
      <c r="E30" t="n">
        <v>1.35</v>
      </c>
      <c r="F30" t="n">
        <v>-19.09</v>
      </c>
      <c r="G30" t="n">
        <v>-43.64</v>
      </c>
      <c r="H30" t="n">
        <v>25</v>
      </c>
      <c r="I30" t="n">
        <v>40</v>
      </c>
      <c r="J30" t="n">
        <v>35</v>
      </c>
      <c r="K30" t="b">
        <v>0</v>
      </c>
      <c r="L30" t="b">
        <v>0</v>
      </c>
      <c r="M30" t="inlineStr">
        <is>
          <t>AVOID</t>
        </is>
      </c>
    </row>
    <row r="31">
      <c r="A31" t="inlineStr">
        <is>
          <t>ALGN</t>
        </is>
      </c>
      <c r="B31" t="inlineStr">
        <is>
          <t>2026-07-30</t>
        </is>
      </c>
      <c r="C31" t="n">
        <v>173.7</v>
      </c>
      <c r="D31" t="n">
        <v>43.56</v>
      </c>
      <c r="E31" t="n">
        <v>1.05</v>
      </c>
      <c r="F31" t="n">
        <v>-1.31</v>
      </c>
      <c r="G31" t="n">
        <v>-14.67</v>
      </c>
      <c r="H31" t="n">
        <v>45</v>
      </c>
      <c r="I31" t="n">
        <v>75</v>
      </c>
      <c r="J31" t="n">
        <v>45</v>
      </c>
      <c r="K31" t="b">
        <v>0</v>
      </c>
      <c r="L31" t="b">
        <v>0</v>
      </c>
      <c r="M31" t="inlineStr">
        <is>
          <t>AVOID</t>
        </is>
      </c>
    </row>
    <row r="32">
      <c r="A32" t="inlineStr">
        <is>
          <t>ALGS</t>
        </is>
      </c>
      <c r="B32" t="inlineStr">
        <is>
          <t>2026-07-30</t>
        </is>
      </c>
      <c r="C32" t="n">
        <v>4.28</v>
      </c>
      <c r="D32" t="n">
        <v>11.62</v>
      </c>
      <c r="E32" t="n">
        <v>0.24</v>
      </c>
      <c r="F32" t="n">
        <v>-28.63</v>
      </c>
      <c r="G32" t="n">
        <v>-67.84999999999999</v>
      </c>
      <c r="H32" t="n">
        <v>10</v>
      </c>
      <c r="I32" t="n">
        <v>0</v>
      </c>
      <c r="J32" t="n">
        <v>10</v>
      </c>
      <c r="K32" t="b">
        <v>0</v>
      </c>
      <c r="L32" t="b">
        <v>0</v>
      </c>
      <c r="M32" t="inlineStr">
        <is>
          <t>AVOID</t>
        </is>
      </c>
    </row>
    <row r="33">
      <c r="A33" t="inlineStr">
        <is>
          <t>ALGT</t>
        </is>
      </c>
      <c r="B33" t="inlineStr">
        <is>
          <t>2026-07-30</t>
        </is>
      </c>
      <c r="C33" t="n">
        <v>98.45999999999999</v>
      </c>
      <c r="D33" t="n">
        <v>34.96</v>
      </c>
      <c r="E33" t="n">
        <v>0.47</v>
      </c>
      <c r="F33" t="n">
        <v>30.17</v>
      </c>
      <c r="G33" t="n">
        <v>-17.37</v>
      </c>
      <c r="H33" t="n">
        <v>45</v>
      </c>
      <c r="I33" t="n">
        <v>45</v>
      </c>
      <c r="J33" t="n">
        <v>75</v>
      </c>
      <c r="K33" t="b">
        <v>0</v>
      </c>
      <c r="L33" t="b">
        <v>0</v>
      </c>
      <c r="M33" t="inlineStr">
        <is>
          <t>AVOID</t>
        </is>
      </c>
    </row>
    <row r="34">
      <c r="A34" t="inlineStr">
        <is>
          <t>ALKS</t>
        </is>
      </c>
      <c r="B34" t="inlineStr">
        <is>
          <t>2026-07-30</t>
        </is>
      </c>
      <c r="C34" t="n">
        <v>49.64</v>
      </c>
      <c r="D34" t="n">
        <v>38.79</v>
      </c>
      <c r="E34" t="n">
        <v>0.8100000000000001</v>
      </c>
      <c r="F34" t="n">
        <v>47.26</v>
      </c>
      <c r="G34" t="n">
        <v>-10.11</v>
      </c>
      <c r="H34" t="n">
        <v>45</v>
      </c>
      <c r="I34" t="n">
        <v>45</v>
      </c>
      <c r="J34" t="n">
        <v>75</v>
      </c>
      <c r="K34" t="b">
        <v>0</v>
      </c>
      <c r="L34" t="b">
        <v>0</v>
      </c>
      <c r="M34" t="inlineStr">
        <is>
          <t>AVOID</t>
        </is>
      </c>
    </row>
    <row r="35">
      <c r="A35" t="inlineStr">
        <is>
          <t>ALLO</t>
        </is>
      </c>
      <c r="B35" t="inlineStr">
        <is>
          <t>2026-07-30</t>
        </is>
      </c>
      <c r="C35" t="n">
        <v>1.98</v>
      </c>
      <c r="D35" t="n">
        <v>49.02</v>
      </c>
      <c r="E35" t="n">
        <v>1.1</v>
      </c>
      <c r="F35" t="n">
        <v>-6.99</v>
      </c>
      <c r="G35" t="n">
        <v>-35.26</v>
      </c>
      <c r="H35" t="n">
        <v>45</v>
      </c>
      <c r="I35" t="n">
        <v>85</v>
      </c>
      <c r="J35" t="n">
        <v>45</v>
      </c>
      <c r="K35" t="b">
        <v>0</v>
      </c>
      <c r="L35" t="b">
        <v>0</v>
      </c>
      <c r="M35" t="inlineStr">
        <is>
          <t>AVOID</t>
        </is>
      </c>
    </row>
    <row r="36">
      <c r="A36" t="inlineStr">
        <is>
          <t>ALNY</t>
        </is>
      </c>
      <c r="B36" t="inlineStr">
        <is>
          <t>2026-07-30</t>
        </is>
      </c>
      <c r="C36" t="n">
        <v>200.49</v>
      </c>
      <c r="D36" t="n">
        <v>19.2</v>
      </c>
      <c r="E36" t="n">
        <v>3.8</v>
      </c>
      <c r="F36" t="n">
        <v>-35.22</v>
      </c>
      <c r="G36" t="n">
        <v>-59.19</v>
      </c>
      <c r="H36" t="n">
        <v>0</v>
      </c>
      <c r="I36" t="n">
        <v>15</v>
      </c>
      <c r="J36" t="n">
        <v>30</v>
      </c>
      <c r="K36" t="b">
        <v>0</v>
      </c>
      <c r="L36" t="b">
        <v>0</v>
      </c>
      <c r="M36" t="inlineStr">
        <is>
          <t>AVOID</t>
        </is>
      </c>
    </row>
    <row r="37">
      <c r="A37" t="inlineStr">
        <is>
          <t>ALRM</t>
        </is>
      </c>
      <c r="B37" t="inlineStr">
        <is>
          <t>2026-07-30</t>
        </is>
      </c>
      <c r="C37" t="n">
        <v>54.32</v>
      </c>
      <c r="D37" t="n">
        <v>61.03</v>
      </c>
      <c r="E37" t="n">
        <v>0.39</v>
      </c>
      <c r="F37" t="n">
        <v>22.31</v>
      </c>
      <c r="G37" t="n">
        <v>-8.18</v>
      </c>
      <c r="H37" t="n">
        <v>50</v>
      </c>
      <c r="I37" t="n">
        <v>70</v>
      </c>
      <c r="J37" t="n">
        <v>80</v>
      </c>
      <c r="K37" t="b">
        <v>0</v>
      </c>
      <c r="L37" t="b">
        <v>0</v>
      </c>
      <c r="M37" t="inlineStr">
        <is>
          <t>AVOID</t>
        </is>
      </c>
    </row>
    <row r="38">
      <c r="A38" t="inlineStr">
        <is>
          <t>ALT</t>
        </is>
      </c>
      <c r="B38" t="inlineStr">
        <is>
          <t>2026-07-30</t>
        </is>
      </c>
      <c r="C38" t="n">
        <v>2.9</v>
      </c>
      <c r="D38" t="n">
        <v>40.74</v>
      </c>
      <c r="E38" t="n">
        <v>0.76</v>
      </c>
      <c r="F38" t="n">
        <v>11.54</v>
      </c>
      <c r="G38" t="n">
        <v>-53.07</v>
      </c>
      <c r="H38" t="n">
        <v>20</v>
      </c>
      <c r="I38" t="n">
        <v>35</v>
      </c>
      <c r="J38" t="n">
        <v>30</v>
      </c>
      <c r="K38" t="b">
        <v>0</v>
      </c>
      <c r="L38" t="b">
        <v>0</v>
      </c>
      <c r="M38" t="inlineStr">
        <is>
          <t>AVOID</t>
        </is>
      </c>
    </row>
    <row r="39">
      <c r="A39" t="inlineStr">
        <is>
          <t>ALXO</t>
        </is>
      </c>
      <c r="B39" t="inlineStr">
        <is>
          <t>2026-07-30</t>
        </is>
      </c>
      <c r="C39" t="n">
        <v>1.98</v>
      </c>
      <c r="D39" t="n">
        <v>40</v>
      </c>
      <c r="E39" t="n">
        <v>0.25</v>
      </c>
      <c r="F39" t="n">
        <v>16.18</v>
      </c>
      <c r="G39" t="n">
        <v>-24.04</v>
      </c>
      <c r="H39" t="n">
        <v>45</v>
      </c>
      <c r="I39" t="n">
        <v>45</v>
      </c>
      <c r="J39" t="n">
        <v>55</v>
      </c>
      <c r="K39" t="b">
        <v>0</v>
      </c>
      <c r="L39" t="b">
        <v>0</v>
      </c>
      <c r="M39" t="inlineStr">
        <is>
          <t>AVOID</t>
        </is>
      </c>
    </row>
    <row r="40">
      <c r="A40" t="inlineStr">
        <is>
          <t>AMAT</t>
        </is>
      </c>
      <c r="B40" t="inlineStr">
        <is>
          <t>2026-07-30</t>
        </is>
      </c>
      <c r="C40" t="n">
        <v>496.37</v>
      </c>
      <c r="D40" t="n">
        <v>35.34</v>
      </c>
      <c r="E40" t="n">
        <v>0.86</v>
      </c>
      <c r="F40" t="n">
        <v>25.98</v>
      </c>
      <c r="G40" t="n">
        <v>-31.35</v>
      </c>
      <c r="H40" t="n">
        <v>35</v>
      </c>
      <c r="I40" t="n">
        <v>25</v>
      </c>
      <c r="J40" t="n">
        <v>55</v>
      </c>
      <c r="K40" t="b">
        <v>0</v>
      </c>
      <c r="L40" t="b">
        <v>0</v>
      </c>
      <c r="M40" t="inlineStr">
        <is>
          <t>AVOID</t>
        </is>
      </c>
    </row>
    <row r="41">
      <c r="A41" t="inlineStr">
        <is>
          <t>AMBA</t>
        </is>
      </c>
      <c r="B41" t="inlineStr">
        <is>
          <t>2026-07-30</t>
        </is>
      </c>
      <c r="C41" t="n">
        <v>73.14</v>
      </c>
      <c r="D41" t="n">
        <v>44.54</v>
      </c>
      <c r="E41" t="n">
        <v>0.55</v>
      </c>
      <c r="F41" t="n">
        <v>6.32</v>
      </c>
      <c r="G41" t="n">
        <v>-23.42</v>
      </c>
      <c r="H41" t="n">
        <v>45</v>
      </c>
      <c r="I41" t="n">
        <v>60</v>
      </c>
      <c r="J41" t="n">
        <v>45</v>
      </c>
      <c r="K41" t="b">
        <v>0</v>
      </c>
      <c r="L41" t="b">
        <v>0</v>
      </c>
      <c r="M41" t="inlineStr">
        <is>
          <t>AVOID</t>
        </is>
      </c>
    </row>
    <row r="42">
      <c r="A42" t="inlineStr">
        <is>
          <t>AMCX</t>
        </is>
      </c>
      <c r="B42" t="inlineStr">
        <is>
          <t>2026-07-30</t>
        </is>
      </c>
      <c r="C42" t="n">
        <v>9.68</v>
      </c>
      <c r="D42" t="n">
        <v>46.57</v>
      </c>
      <c r="E42" t="n">
        <v>1.41</v>
      </c>
      <c r="F42" t="n">
        <v>14.02</v>
      </c>
      <c r="G42" t="n">
        <v>-11.19</v>
      </c>
      <c r="H42" t="n">
        <v>35</v>
      </c>
      <c r="I42" t="n">
        <v>65</v>
      </c>
      <c r="J42" t="n">
        <v>55</v>
      </c>
      <c r="K42" t="b">
        <v>0</v>
      </c>
      <c r="L42" t="b">
        <v>0</v>
      </c>
      <c r="M42" t="inlineStr">
        <is>
          <t>AVOID</t>
        </is>
      </c>
    </row>
    <row r="43">
      <c r="A43" t="inlineStr">
        <is>
          <t>AMD</t>
        </is>
      </c>
      <c r="B43" t="inlineStr">
        <is>
          <t>2026-07-30</t>
        </is>
      </c>
      <c r="C43" t="n">
        <v>486.99</v>
      </c>
      <c r="D43" t="n">
        <v>39.14</v>
      </c>
      <c r="E43" t="n">
        <v>0.95</v>
      </c>
      <c r="F43" t="n">
        <v>37.38</v>
      </c>
      <c r="G43" t="n">
        <v>-16.17</v>
      </c>
      <c r="H43" t="n">
        <v>35</v>
      </c>
      <c r="I43" t="n">
        <v>25</v>
      </c>
      <c r="J43" t="n">
        <v>65</v>
      </c>
      <c r="K43" t="b">
        <v>0</v>
      </c>
      <c r="L43" t="b">
        <v>0</v>
      </c>
      <c r="M43" t="inlineStr">
        <is>
          <t>AVOID</t>
        </is>
      </c>
    </row>
    <row r="44">
      <c r="A44" t="inlineStr">
        <is>
          <t>AMGN</t>
        </is>
      </c>
      <c r="B44" t="inlineStr">
        <is>
          <t>2026-07-30</t>
        </is>
      </c>
      <c r="C44" t="n">
        <v>387.67</v>
      </c>
      <c r="D44" t="n">
        <v>68.20999999999999</v>
      </c>
      <c r="E44" t="n">
        <v>0.55</v>
      </c>
      <c r="F44" t="n">
        <v>12.81</v>
      </c>
      <c r="G44" t="n">
        <v>-1.38</v>
      </c>
      <c r="H44" t="n">
        <v>60</v>
      </c>
      <c r="I44" t="n">
        <v>45</v>
      </c>
      <c r="J44" t="n">
        <v>100</v>
      </c>
      <c r="K44" t="b">
        <v>0</v>
      </c>
      <c r="L44" t="b">
        <v>0</v>
      </c>
      <c r="M44" t="inlineStr">
        <is>
          <t>HIGH CONVICTION</t>
        </is>
      </c>
    </row>
    <row r="45">
      <c r="A45" t="inlineStr">
        <is>
          <t>AMKR</t>
        </is>
      </c>
      <c r="B45" t="inlineStr">
        <is>
          <t>2026-07-30</t>
        </is>
      </c>
      <c r="C45" t="n">
        <v>48.09</v>
      </c>
      <c r="D45" t="n">
        <v>27.71</v>
      </c>
      <c r="E45" t="n">
        <v>1</v>
      </c>
      <c r="F45" t="n">
        <v>-30.98</v>
      </c>
      <c r="G45" t="n">
        <v>-48.59</v>
      </c>
      <c r="H45" t="n">
        <v>10</v>
      </c>
      <c r="I45" t="n">
        <v>15</v>
      </c>
      <c r="J45" t="n">
        <v>10</v>
      </c>
      <c r="K45" t="b">
        <v>0</v>
      </c>
      <c r="L45" t="b">
        <v>0</v>
      </c>
      <c r="M45" t="inlineStr">
        <is>
          <t>AVOID</t>
        </is>
      </c>
    </row>
    <row r="46">
      <c r="A46" t="inlineStr">
        <is>
          <t>AMPH</t>
        </is>
      </c>
      <c r="B46" t="inlineStr">
        <is>
          <t>2026-07-30</t>
        </is>
      </c>
      <c r="C46" t="n">
        <v>20.19</v>
      </c>
      <c r="D46" t="n">
        <v>63.45</v>
      </c>
      <c r="E46" t="n">
        <v>0.49</v>
      </c>
      <c r="F46" t="n">
        <v>-8.039999999999999</v>
      </c>
      <c r="G46" t="n">
        <v>-34.45</v>
      </c>
      <c r="H46" t="n">
        <v>35</v>
      </c>
      <c r="I46" t="n">
        <v>45</v>
      </c>
      <c r="J46" t="n">
        <v>35</v>
      </c>
      <c r="K46" t="b">
        <v>0</v>
      </c>
      <c r="L46" t="b">
        <v>0</v>
      </c>
      <c r="M46" t="inlineStr">
        <is>
          <t>AVOID</t>
        </is>
      </c>
    </row>
    <row r="47">
      <c r="A47" t="inlineStr">
        <is>
          <t>AMSC</t>
        </is>
      </c>
      <c r="B47" t="inlineStr">
        <is>
          <t>2026-07-30</t>
        </is>
      </c>
      <c r="C47" t="n">
        <v>29.2</v>
      </c>
      <c r="D47" t="n">
        <v>31.79</v>
      </c>
      <c r="E47" t="n">
        <v>0.67</v>
      </c>
      <c r="F47" t="n">
        <v>-45.45</v>
      </c>
      <c r="G47" t="n">
        <v>-56.2</v>
      </c>
      <c r="H47" t="n">
        <v>10</v>
      </c>
      <c r="I47" t="n">
        <v>0</v>
      </c>
      <c r="J47" t="n">
        <v>10</v>
      </c>
      <c r="K47" t="b">
        <v>0</v>
      </c>
      <c r="L47" t="b">
        <v>0</v>
      </c>
      <c r="M47" t="inlineStr">
        <is>
          <t>AVOID</t>
        </is>
      </c>
    </row>
    <row r="48">
      <c r="A48" t="inlineStr">
        <is>
          <t>AMTB</t>
        </is>
      </c>
      <c r="B48" t="inlineStr">
        <is>
          <t>2026-07-30</t>
        </is>
      </c>
      <c r="C48" t="n">
        <v>29.7</v>
      </c>
      <c r="D48" t="n">
        <v>74.84</v>
      </c>
      <c r="E48" t="n">
        <v>0.51</v>
      </c>
      <c r="F48" t="n">
        <v>29.84</v>
      </c>
      <c r="G48" t="n">
        <v>-2.86</v>
      </c>
      <c r="H48" t="n">
        <v>60</v>
      </c>
      <c r="I48" t="n">
        <v>45</v>
      </c>
      <c r="J48" t="n">
        <v>100</v>
      </c>
      <c r="K48" t="b">
        <v>0</v>
      </c>
      <c r="L48" t="b">
        <v>0</v>
      </c>
      <c r="M48" t="inlineStr">
        <is>
          <t>HIGH CONVICTION</t>
        </is>
      </c>
    </row>
    <row r="49">
      <c r="A49" t="inlineStr">
        <is>
          <t>AMZN</t>
        </is>
      </c>
      <c r="B49" t="inlineStr">
        <is>
          <t>2026-07-30</t>
        </is>
      </c>
      <c r="C49" t="n">
        <v>237.8</v>
      </c>
      <c r="D49" t="n">
        <v>43.1</v>
      </c>
      <c r="E49" t="n">
        <v>1.27</v>
      </c>
      <c r="F49" t="n">
        <v>-10.28</v>
      </c>
      <c r="G49" t="n">
        <v>-13.52</v>
      </c>
      <c r="H49" t="n">
        <v>25</v>
      </c>
      <c r="I49" t="n">
        <v>55</v>
      </c>
      <c r="J49" t="n">
        <v>35</v>
      </c>
      <c r="K49" t="b">
        <v>0</v>
      </c>
      <c r="L49" t="b">
        <v>0</v>
      </c>
      <c r="M49" t="inlineStr">
        <is>
          <t>AVOID</t>
        </is>
      </c>
    </row>
    <row r="50">
      <c r="A50" t="inlineStr">
        <is>
          <t>ANAB</t>
        </is>
      </c>
      <c r="B50" t="inlineStr">
        <is>
          <t>2026-07-30</t>
        </is>
      </c>
      <c r="C50" t="n">
        <v>54.44</v>
      </c>
      <c r="D50" t="n">
        <v>36</v>
      </c>
      <c r="E50" t="n">
        <v>0.31</v>
      </c>
      <c r="F50" t="n">
        <v>-17.18</v>
      </c>
      <c r="G50" t="n">
        <v>-22.02</v>
      </c>
      <c r="H50" t="n">
        <v>35</v>
      </c>
      <c r="I50" t="n">
        <v>25</v>
      </c>
      <c r="J50" t="n">
        <v>35</v>
      </c>
      <c r="K50" t="b">
        <v>0</v>
      </c>
      <c r="L50" t="b">
        <v>0</v>
      </c>
      <c r="M50" t="inlineStr">
        <is>
          <t>AVOID</t>
        </is>
      </c>
    </row>
    <row r="51">
      <c r="A51" t="inlineStr">
        <is>
          <t>ANGI</t>
        </is>
      </c>
      <c r="B51" t="inlineStr">
        <is>
          <t>2026-07-30</t>
        </is>
      </c>
      <c r="C51" t="n">
        <v>5.74</v>
      </c>
      <c r="D51" t="n">
        <v>41.43</v>
      </c>
      <c r="E51" t="n">
        <v>0.63</v>
      </c>
      <c r="F51" t="n">
        <v>-21.87</v>
      </c>
      <c r="G51" t="n">
        <v>-69.66</v>
      </c>
      <c r="H51" t="n">
        <v>10</v>
      </c>
      <c r="I51" t="n">
        <v>0</v>
      </c>
      <c r="J51" t="n">
        <v>10</v>
      </c>
      <c r="K51" t="b">
        <v>0</v>
      </c>
      <c r="L51" t="b">
        <v>0</v>
      </c>
      <c r="M51" t="inlineStr">
        <is>
          <t>AVOID</t>
        </is>
      </c>
    </row>
    <row r="52">
      <c r="A52" t="inlineStr">
        <is>
          <t>ANGO</t>
        </is>
      </c>
      <c r="B52" t="inlineStr">
        <is>
          <t>2026-07-30</t>
        </is>
      </c>
      <c r="C52" t="n">
        <v>14.76</v>
      </c>
      <c r="D52" t="n">
        <v>67.98</v>
      </c>
      <c r="E52" t="n">
        <v>0.28</v>
      </c>
      <c r="F52" t="n">
        <v>34.87</v>
      </c>
      <c r="G52" t="n">
        <v>0</v>
      </c>
      <c r="H52" t="n">
        <v>60</v>
      </c>
      <c r="I52" t="n">
        <v>45</v>
      </c>
      <c r="J52" t="n">
        <v>100</v>
      </c>
      <c r="K52" t="b">
        <v>0</v>
      </c>
      <c r="L52" t="b">
        <v>0</v>
      </c>
      <c r="M52" t="inlineStr">
        <is>
          <t>HIGH CONVICTION</t>
        </is>
      </c>
    </row>
    <row r="53">
      <c r="A53" t="inlineStr">
        <is>
          <t>ANNX</t>
        </is>
      </c>
      <c r="B53" t="inlineStr">
        <is>
          <t>2026-07-30</t>
        </is>
      </c>
      <c r="C53" t="n">
        <v>5.18</v>
      </c>
      <c r="D53" t="n">
        <v>40.7</v>
      </c>
      <c r="E53" t="n">
        <v>0.41</v>
      </c>
      <c r="F53" t="n">
        <v>-11.67</v>
      </c>
      <c r="G53" t="n">
        <v>-25.5</v>
      </c>
      <c r="H53" t="n">
        <v>35</v>
      </c>
      <c r="I53" t="n">
        <v>25</v>
      </c>
      <c r="J53" t="n">
        <v>35</v>
      </c>
      <c r="K53" t="b">
        <v>0</v>
      </c>
      <c r="L53" t="b">
        <v>0</v>
      </c>
      <c r="M53" t="inlineStr">
        <is>
          <t>AVOID</t>
        </is>
      </c>
    </row>
    <row r="54">
      <c r="A54" t="inlineStr">
        <is>
          <t>AOSL</t>
        </is>
      </c>
      <c r="B54" t="inlineStr">
        <is>
          <t>2026-07-30</t>
        </is>
      </c>
      <c r="C54" t="n">
        <v>30.63</v>
      </c>
      <c r="D54" t="n">
        <v>34.72</v>
      </c>
      <c r="E54" t="n">
        <v>0.37</v>
      </c>
      <c r="F54" t="n">
        <v>-29.47</v>
      </c>
      <c r="G54" t="n">
        <v>-42.55</v>
      </c>
      <c r="H54" t="n">
        <v>25</v>
      </c>
      <c r="I54" t="n">
        <v>25</v>
      </c>
      <c r="J54" t="n">
        <v>25</v>
      </c>
      <c r="K54" t="b">
        <v>0</v>
      </c>
      <c r="L54" t="b">
        <v>0</v>
      </c>
      <c r="M54" t="inlineStr">
        <is>
          <t>AVOID</t>
        </is>
      </c>
    </row>
    <row r="55">
      <c r="A55" t="inlineStr">
        <is>
          <t>APA</t>
        </is>
      </c>
      <c r="B55" t="inlineStr">
        <is>
          <t>2026-07-30</t>
        </is>
      </c>
      <c r="C55" t="n">
        <v>36.14</v>
      </c>
      <c r="D55" t="n">
        <v>66.37</v>
      </c>
      <c r="E55" t="n">
        <v>0.57</v>
      </c>
      <c r="F55" t="n">
        <v>-10.64</v>
      </c>
      <c r="G55" t="n">
        <v>-17.46</v>
      </c>
      <c r="H55" t="n">
        <v>50</v>
      </c>
      <c r="I55" t="n">
        <v>45</v>
      </c>
      <c r="J55" t="n">
        <v>50</v>
      </c>
      <c r="K55" t="b">
        <v>0</v>
      </c>
      <c r="L55" t="b">
        <v>0</v>
      </c>
      <c r="M55" t="inlineStr">
        <is>
          <t>AVOID</t>
        </is>
      </c>
    </row>
    <row r="56">
      <c r="A56" t="inlineStr">
        <is>
          <t>APEI</t>
        </is>
      </c>
      <c r="B56" t="inlineStr">
        <is>
          <t>2026-07-30</t>
        </is>
      </c>
      <c r="C56" t="n">
        <v>50.6</v>
      </c>
      <c r="D56" t="n">
        <v>32.53</v>
      </c>
      <c r="E56" t="n">
        <v>0.32</v>
      </c>
      <c r="F56" t="n">
        <v>-12.98</v>
      </c>
      <c r="G56" t="n">
        <v>-16.86</v>
      </c>
      <c r="H56" t="n">
        <v>35</v>
      </c>
      <c r="I56" t="n">
        <v>25</v>
      </c>
      <c r="J56" t="n">
        <v>35</v>
      </c>
      <c r="K56" t="b">
        <v>0</v>
      </c>
      <c r="L56" t="b">
        <v>0</v>
      </c>
      <c r="M56" t="inlineStr">
        <is>
          <t>AVOID</t>
        </is>
      </c>
    </row>
    <row r="57">
      <c r="A57" t="inlineStr">
        <is>
          <t>APPF</t>
        </is>
      </c>
      <c r="B57" t="inlineStr">
        <is>
          <t>2026-07-30</t>
        </is>
      </c>
      <c r="C57" t="n">
        <v>176.69</v>
      </c>
      <c r="D57" t="n">
        <v>50.78</v>
      </c>
      <c r="E57" t="n">
        <v>0.39</v>
      </c>
      <c r="F57" t="n">
        <v>5.75</v>
      </c>
      <c r="G57" t="n">
        <v>-45</v>
      </c>
      <c r="H57" t="n">
        <v>35</v>
      </c>
      <c r="I57" t="n">
        <v>60</v>
      </c>
      <c r="J57" t="n">
        <v>35</v>
      </c>
      <c r="K57" t="b">
        <v>0</v>
      </c>
      <c r="L57" t="b">
        <v>0</v>
      </c>
      <c r="M57" t="inlineStr">
        <is>
          <t>AVOID</t>
        </is>
      </c>
    </row>
    <row r="58">
      <c r="A58" t="inlineStr">
        <is>
          <t>APPN</t>
        </is>
      </c>
      <c r="B58" t="inlineStr">
        <is>
          <t>2026-07-30</t>
        </is>
      </c>
      <c r="C58" t="n">
        <v>26.51</v>
      </c>
      <c r="D58" t="n">
        <v>53.64</v>
      </c>
      <c r="E58" t="n">
        <v>0.86</v>
      </c>
      <c r="F58" t="n">
        <v>27.54</v>
      </c>
      <c r="G58" t="n">
        <v>-41.9</v>
      </c>
      <c r="H58" t="n">
        <v>35</v>
      </c>
      <c r="I58" t="n">
        <v>45</v>
      </c>
      <c r="J58" t="n">
        <v>55</v>
      </c>
      <c r="K58" t="b">
        <v>0</v>
      </c>
      <c r="L58" t="b">
        <v>0</v>
      </c>
      <c r="M58" t="inlineStr">
        <is>
          <t>AVOID</t>
        </is>
      </c>
    </row>
    <row r="59">
      <c r="A59" t="inlineStr">
        <is>
          <t>APPS</t>
        </is>
      </c>
      <c r="B59" t="inlineStr">
        <is>
          <t>2026-07-30</t>
        </is>
      </c>
      <c r="C59" t="n">
        <v>8.130000000000001</v>
      </c>
      <c r="D59" t="n">
        <v>26.86</v>
      </c>
      <c r="E59" t="n">
        <v>0.43</v>
      </c>
      <c r="F59" t="n">
        <v>130.31</v>
      </c>
      <c r="G59" t="n">
        <v>-38.92</v>
      </c>
      <c r="H59" t="n">
        <v>35</v>
      </c>
      <c r="I59" t="n">
        <v>25</v>
      </c>
      <c r="J59" t="n">
        <v>75</v>
      </c>
      <c r="K59" t="b">
        <v>0</v>
      </c>
      <c r="L59" t="b">
        <v>0</v>
      </c>
      <c r="M59" t="inlineStr">
        <is>
          <t>AVOID</t>
        </is>
      </c>
    </row>
    <row r="60">
      <c r="A60" t="inlineStr">
        <is>
          <t>ARCB</t>
        </is>
      </c>
      <c r="B60" t="inlineStr">
        <is>
          <t>2026-07-30</t>
        </is>
      </c>
      <c r="C60" t="n">
        <v>141.15</v>
      </c>
      <c r="D60" t="n">
        <v>43.52</v>
      </c>
      <c r="E60" t="n">
        <v>1.69</v>
      </c>
      <c r="F60" t="n">
        <v>10.75</v>
      </c>
      <c r="G60" t="n">
        <v>-18.51</v>
      </c>
      <c r="H60" t="n">
        <v>35</v>
      </c>
      <c r="I60" t="n">
        <v>40</v>
      </c>
      <c r="J60" t="n">
        <v>65</v>
      </c>
      <c r="K60" t="b">
        <v>0</v>
      </c>
      <c r="L60" t="b">
        <v>0</v>
      </c>
      <c r="M60" t="inlineStr">
        <is>
          <t>AVOID</t>
        </is>
      </c>
    </row>
    <row r="61">
      <c r="A61" t="inlineStr">
        <is>
          <t>ARCC</t>
        </is>
      </c>
      <c r="B61" t="inlineStr">
        <is>
          <t>2026-07-30</t>
        </is>
      </c>
      <c r="C61" t="n">
        <v>18.81</v>
      </c>
      <c r="D61" t="n">
        <v>50.58</v>
      </c>
      <c r="E61" t="n">
        <v>0.8100000000000001</v>
      </c>
      <c r="F61" t="n">
        <v>0.66</v>
      </c>
      <c r="G61" t="n">
        <v>-8.66</v>
      </c>
      <c r="H61" t="n">
        <v>50</v>
      </c>
      <c r="I61" t="n">
        <v>85</v>
      </c>
      <c r="J61" t="n">
        <v>60</v>
      </c>
      <c r="K61" t="b">
        <v>0</v>
      </c>
      <c r="L61" t="b">
        <v>0</v>
      </c>
      <c r="M61" t="inlineStr">
        <is>
          <t>AVOID</t>
        </is>
      </c>
    </row>
    <row r="62">
      <c r="A62" t="inlineStr">
        <is>
          <t>ARCT</t>
        </is>
      </c>
      <c r="B62" t="inlineStr">
        <is>
          <t>2026-07-30</t>
        </is>
      </c>
      <c r="C62" t="n">
        <v>5.9</v>
      </c>
      <c r="D62" t="n">
        <v>21.99</v>
      </c>
      <c r="E62" t="n">
        <v>0.4</v>
      </c>
      <c r="F62" t="n">
        <v>-31.55</v>
      </c>
      <c r="G62" t="n">
        <v>-74.53</v>
      </c>
      <c r="H62" t="n">
        <v>0</v>
      </c>
      <c r="I62" t="n">
        <v>0</v>
      </c>
      <c r="J62" t="n">
        <v>0</v>
      </c>
      <c r="K62" t="b">
        <v>0</v>
      </c>
      <c r="L62" t="b">
        <v>0</v>
      </c>
      <c r="M62" t="inlineStr">
        <is>
          <t>AVOID</t>
        </is>
      </c>
    </row>
    <row r="63">
      <c r="A63" t="inlineStr">
        <is>
          <t>ARQT</t>
        </is>
      </c>
      <c r="B63" t="inlineStr">
        <is>
          <t>2026-07-30</t>
        </is>
      </c>
      <c r="C63" t="n">
        <v>27.87</v>
      </c>
      <c r="D63" t="n">
        <v>50.93</v>
      </c>
      <c r="E63" t="n">
        <v>0.22</v>
      </c>
      <c r="F63" t="n">
        <v>20.03</v>
      </c>
      <c r="G63" t="n">
        <v>-10.67</v>
      </c>
      <c r="H63" t="n">
        <v>50</v>
      </c>
      <c r="I63" t="n">
        <v>85</v>
      </c>
      <c r="J63" t="n">
        <v>70</v>
      </c>
      <c r="K63" t="b">
        <v>0</v>
      </c>
      <c r="L63" t="b">
        <v>0</v>
      </c>
      <c r="M63" t="inlineStr">
        <is>
          <t>AVOID</t>
        </is>
      </c>
    </row>
    <row r="64">
      <c r="A64" t="inlineStr">
        <is>
          <t>ARRY</t>
        </is>
      </c>
      <c r="B64" t="inlineStr">
        <is>
          <t>2026-07-30</t>
        </is>
      </c>
      <c r="C64" t="n">
        <v>5.05</v>
      </c>
      <c r="D64" t="n">
        <v>26.88</v>
      </c>
      <c r="E64" t="n">
        <v>0.37</v>
      </c>
      <c r="F64" t="n">
        <v>-34.82</v>
      </c>
      <c r="G64" t="n">
        <v>-57.82</v>
      </c>
      <c r="H64" t="n">
        <v>0</v>
      </c>
      <c r="I64" t="n">
        <v>0</v>
      </c>
      <c r="J64" t="n">
        <v>0</v>
      </c>
      <c r="K64" t="b">
        <v>0</v>
      </c>
      <c r="L64" t="b">
        <v>0</v>
      </c>
      <c r="M64" t="inlineStr">
        <is>
          <t>AVOID</t>
        </is>
      </c>
    </row>
    <row r="65">
      <c r="A65" t="inlineStr">
        <is>
          <t>ARVN</t>
        </is>
      </c>
      <c r="B65" t="inlineStr">
        <is>
          <t>2026-07-30</t>
        </is>
      </c>
      <c r="C65" t="n">
        <v>8.26</v>
      </c>
      <c r="D65" t="n">
        <v>49.64</v>
      </c>
      <c r="E65" t="n">
        <v>0.51</v>
      </c>
      <c r="F65" t="n">
        <v>-16.57</v>
      </c>
      <c r="G65" t="n">
        <v>-40.27</v>
      </c>
      <c r="H65" t="n">
        <v>30</v>
      </c>
      <c r="I65" t="n">
        <v>60</v>
      </c>
      <c r="J65" t="n">
        <v>30</v>
      </c>
      <c r="K65" t="b">
        <v>0</v>
      </c>
      <c r="L65" t="b">
        <v>0</v>
      </c>
      <c r="M65" t="inlineStr">
        <is>
          <t>AVOID</t>
        </is>
      </c>
    </row>
    <row r="66">
      <c r="A66" t="inlineStr">
        <is>
          <t>ARWR</t>
        </is>
      </c>
      <c r="B66" t="inlineStr">
        <is>
          <t>2026-07-30</t>
        </is>
      </c>
      <c r="C66" t="n">
        <v>87.23999999999999</v>
      </c>
      <c r="D66" t="n">
        <v>66.66</v>
      </c>
      <c r="E66" t="n">
        <v>0.33</v>
      </c>
      <c r="F66" t="n">
        <v>18.72</v>
      </c>
      <c r="G66" t="n">
        <v>-1.65</v>
      </c>
      <c r="H66" t="n">
        <v>60</v>
      </c>
      <c r="I66" t="n">
        <v>45</v>
      </c>
      <c r="J66" t="n">
        <v>100</v>
      </c>
      <c r="K66" t="b">
        <v>0</v>
      </c>
      <c r="L66" t="b">
        <v>0</v>
      </c>
      <c r="M66" t="inlineStr">
        <is>
          <t>HIGH CONVICTION</t>
        </is>
      </c>
    </row>
    <row r="67">
      <c r="A67" t="inlineStr">
        <is>
          <t>ASLE</t>
        </is>
      </c>
      <c r="B67" t="inlineStr">
        <is>
          <t>2026-07-30</t>
        </is>
      </c>
      <c r="C67" t="n">
        <v>6.12</v>
      </c>
      <c r="D67" t="n">
        <v>54.31</v>
      </c>
      <c r="E67" t="n">
        <v>0.35</v>
      </c>
      <c r="F67" t="n">
        <v>-8.93</v>
      </c>
      <c r="G67" t="n">
        <v>-32</v>
      </c>
      <c r="H67" t="n">
        <v>5</v>
      </c>
      <c r="I67" t="n">
        <v>40</v>
      </c>
      <c r="J67" t="n">
        <v>5</v>
      </c>
      <c r="K67" t="b">
        <v>0</v>
      </c>
      <c r="L67" t="b">
        <v>0</v>
      </c>
      <c r="M67" t="inlineStr">
        <is>
          <t>AVOID</t>
        </is>
      </c>
    </row>
    <row r="68">
      <c r="A68" t="inlineStr">
        <is>
          <t>ASML</t>
        </is>
      </c>
      <c r="B68" t="inlineStr">
        <is>
          <t>2026-07-30</t>
        </is>
      </c>
      <c r="C68" t="n">
        <v>1646.77</v>
      </c>
      <c r="D68" t="n">
        <v>38.53</v>
      </c>
      <c r="E68" t="n">
        <v>0.76</v>
      </c>
      <c r="F68" t="n">
        <v>14.59</v>
      </c>
      <c r="G68" t="n">
        <v>-17.12</v>
      </c>
      <c r="H68" t="n">
        <v>25</v>
      </c>
      <c r="I68" t="n">
        <v>25</v>
      </c>
      <c r="J68" t="n">
        <v>35</v>
      </c>
      <c r="K68" t="b">
        <v>0</v>
      </c>
      <c r="L68" t="b">
        <v>0</v>
      </c>
      <c r="M68" t="inlineStr">
        <is>
          <t>AVOID</t>
        </is>
      </c>
    </row>
    <row r="69">
      <c r="A69" t="inlineStr">
        <is>
          <t>ASND</t>
        </is>
      </c>
      <c r="B69" t="inlineStr">
        <is>
          <t>2026-07-30</t>
        </is>
      </c>
      <c r="C69" t="n">
        <v>247.94</v>
      </c>
      <c r="D69" t="n">
        <v>24.65</v>
      </c>
      <c r="E69" t="n">
        <v>0.41</v>
      </c>
      <c r="F69" t="n">
        <v>8.09</v>
      </c>
      <c r="G69" t="n">
        <v>-10.55</v>
      </c>
      <c r="H69" t="n">
        <v>45</v>
      </c>
      <c r="I69" t="n">
        <v>45</v>
      </c>
      <c r="J69" t="n">
        <v>45</v>
      </c>
      <c r="K69" t="b">
        <v>0</v>
      </c>
      <c r="L69" t="b">
        <v>0</v>
      </c>
      <c r="M69" t="inlineStr">
        <is>
          <t>AVOID</t>
        </is>
      </c>
    </row>
    <row r="70">
      <c r="A70" t="inlineStr">
        <is>
          <t>ASO</t>
        </is>
      </c>
      <c r="B70" t="inlineStr">
        <is>
          <t>2026-07-30</t>
        </is>
      </c>
      <c r="C70" t="n">
        <v>48.42</v>
      </c>
      <c r="D70" t="n">
        <v>58.51</v>
      </c>
      <c r="E70" t="n">
        <v>0.36</v>
      </c>
      <c r="F70" t="n">
        <v>-11.45</v>
      </c>
      <c r="G70" t="n">
        <v>-20.41</v>
      </c>
      <c r="H70" t="n">
        <v>15</v>
      </c>
      <c r="I70" t="n">
        <v>40</v>
      </c>
      <c r="J70" t="n">
        <v>15</v>
      </c>
      <c r="K70" t="b">
        <v>0</v>
      </c>
      <c r="L70" t="b">
        <v>0</v>
      </c>
      <c r="M70" t="inlineStr">
        <is>
          <t>AVOID</t>
        </is>
      </c>
    </row>
    <row r="71">
      <c r="A71" t="inlineStr">
        <is>
          <t>ATEC</t>
        </is>
      </c>
      <c r="B71" t="inlineStr">
        <is>
          <t>2026-07-30</t>
        </is>
      </c>
      <c r="C71" t="n">
        <v>9.609999999999999</v>
      </c>
      <c r="D71" t="n">
        <v>50.42</v>
      </c>
      <c r="E71" t="n">
        <v>0.42</v>
      </c>
      <c r="F71" t="n">
        <v>-1.49</v>
      </c>
      <c r="G71" t="n">
        <v>-57.61</v>
      </c>
      <c r="H71" t="n">
        <v>35</v>
      </c>
      <c r="I71" t="n">
        <v>45</v>
      </c>
      <c r="J71" t="n">
        <v>35</v>
      </c>
      <c r="K71" t="b">
        <v>0</v>
      </c>
      <c r="L71" t="b">
        <v>0</v>
      </c>
      <c r="M71" t="inlineStr">
        <is>
          <t>AVOID</t>
        </is>
      </c>
    </row>
    <row r="72">
      <c r="A72" t="inlineStr">
        <is>
          <t>ATEX</t>
        </is>
      </c>
      <c r="B72" t="inlineStr">
        <is>
          <t>2026-07-30</t>
        </is>
      </c>
      <c r="C72" t="n">
        <v>92.79000000000001</v>
      </c>
      <c r="D72" t="n">
        <v>41.94</v>
      </c>
      <c r="E72" t="n">
        <v>0.44</v>
      </c>
      <c r="F72" t="n">
        <v>92.03</v>
      </c>
      <c r="G72" t="n">
        <v>-14.25</v>
      </c>
      <c r="H72" t="n">
        <v>45</v>
      </c>
      <c r="I72" t="n">
        <v>45</v>
      </c>
      <c r="J72" t="n">
        <v>85</v>
      </c>
      <c r="K72" t="b">
        <v>0</v>
      </c>
      <c r="L72" t="b">
        <v>0</v>
      </c>
      <c r="M72" t="inlineStr">
        <is>
          <t>WATCH</t>
        </is>
      </c>
    </row>
    <row r="73">
      <c r="A73" t="inlineStr">
        <is>
          <t>ATOM</t>
        </is>
      </c>
      <c r="B73" t="inlineStr">
        <is>
          <t>2026-07-30</t>
        </is>
      </c>
      <c r="C73" t="n">
        <v>5.06</v>
      </c>
      <c r="D73" t="n">
        <v>30.03</v>
      </c>
      <c r="E73" t="n">
        <v>0.52</v>
      </c>
      <c r="F73" t="n">
        <v>-38.14</v>
      </c>
      <c r="G73" t="n">
        <v>-58.22</v>
      </c>
      <c r="H73" t="n">
        <v>25</v>
      </c>
      <c r="I73" t="n">
        <v>25</v>
      </c>
      <c r="J73" t="n">
        <v>25</v>
      </c>
      <c r="K73" t="b">
        <v>0</v>
      </c>
      <c r="L73" t="b">
        <v>0</v>
      </c>
      <c r="M73" t="inlineStr">
        <is>
          <t>AVOID</t>
        </is>
      </c>
    </row>
    <row r="74">
      <c r="A74" t="inlineStr">
        <is>
          <t>ATRC</t>
        </is>
      </c>
      <c r="B74" t="inlineStr">
        <is>
          <t>2026-07-30</t>
        </is>
      </c>
      <c r="C74" t="n">
        <v>40.35</v>
      </c>
      <c r="D74" t="n">
        <v>72.72</v>
      </c>
      <c r="E74" t="n">
        <v>0.57</v>
      </c>
      <c r="F74" t="n">
        <v>43.53</v>
      </c>
      <c r="G74" t="n">
        <v>-4.86</v>
      </c>
      <c r="H74" t="n">
        <v>50</v>
      </c>
      <c r="I74" t="n">
        <v>45</v>
      </c>
      <c r="J74" t="n">
        <v>100</v>
      </c>
      <c r="K74" t="b">
        <v>0</v>
      </c>
      <c r="L74" t="b">
        <v>0</v>
      </c>
      <c r="M74" t="inlineStr">
        <is>
          <t>HIGH CONVICTION</t>
        </is>
      </c>
    </row>
    <row r="75">
      <c r="A75" t="inlineStr">
        <is>
          <t>ATRO</t>
        </is>
      </c>
      <c r="B75" t="inlineStr">
        <is>
          <t>2026-07-30</t>
        </is>
      </c>
      <c r="C75" t="n">
        <v>67.47</v>
      </c>
      <c r="D75" t="n">
        <v>38.16</v>
      </c>
      <c r="E75" t="n">
        <v>0.65</v>
      </c>
      <c r="F75" t="n">
        <v>18.4</v>
      </c>
      <c r="G75" t="n">
        <v>-22.58</v>
      </c>
      <c r="H75" t="n">
        <v>25</v>
      </c>
      <c r="I75" t="n">
        <v>25</v>
      </c>
      <c r="J75" t="n">
        <v>35</v>
      </c>
      <c r="K75" t="b">
        <v>0</v>
      </c>
      <c r="L75" t="b">
        <v>0</v>
      </c>
      <c r="M75" t="inlineStr">
        <is>
          <t>AVOID</t>
        </is>
      </c>
    </row>
    <row r="76">
      <c r="A76" t="inlineStr">
        <is>
          <t>AUB</t>
        </is>
      </c>
      <c r="B76" t="inlineStr">
        <is>
          <t>2026-07-30</t>
        </is>
      </c>
      <c r="C76" t="n">
        <v>42.54</v>
      </c>
      <c r="D76" t="n">
        <v>54.07</v>
      </c>
      <c r="E76" t="n">
        <v>0.2</v>
      </c>
      <c r="F76" t="n">
        <v>14.11</v>
      </c>
      <c r="G76" t="n">
        <v>-1.64</v>
      </c>
      <c r="H76" t="n">
        <v>60</v>
      </c>
      <c r="I76" t="n">
        <v>85</v>
      </c>
      <c r="J76" t="n">
        <v>100</v>
      </c>
      <c r="K76" t="b">
        <v>0</v>
      </c>
      <c r="L76" t="b">
        <v>0</v>
      </c>
      <c r="M76" t="inlineStr">
        <is>
          <t>HIGH CONVICTION</t>
        </is>
      </c>
    </row>
    <row r="77">
      <c r="A77" t="inlineStr">
        <is>
          <t>AUPH</t>
        </is>
      </c>
      <c r="B77" t="inlineStr">
        <is>
          <t>2026-07-30</t>
        </is>
      </c>
      <c r="C77" t="n">
        <v>15.05</v>
      </c>
      <c r="D77" t="n">
        <v>37.63</v>
      </c>
      <c r="E77" t="n">
        <v>0.6</v>
      </c>
      <c r="F77" t="n">
        <v>-2.18</v>
      </c>
      <c r="G77" t="n">
        <v>-19.17</v>
      </c>
      <c r="H77" t="n">
        <v>10</v>
      </c>
      <c r="I77" t="n">
        <v>0</v>
      </c>
      <c r="J77" t="n">
        <v>10</v>
      </c>
      <c r="K77" t="b">
        <v>0</v>
      </c>
      <c r="L77" t="b">
        <v>0</v>
      </c>
      <c r="M77" t="inlineStr">
        <is>
          <t>AVOID</t>
        </is>
      </c>
    </row>
    <row r="78">
      <c r="A78" t="inlineStr">
        <is>
          <t>AVAV</t>
        </is>
      </c>
      <c r="B78" t="inlineStr">
        <is>
          <t>2026-07-30</t>
        </is>
      </c>
      <c r="C78" t="n">
        <v>145.23</v>
      </c>
      <c r="D78" t="n">
        <v>50.45</v>
      </c>
      <c r="E78" t="n">
        <v>0.37</v>
      </c>
      <c r="F78" t="n">
        <v>-25.53</v>
      </c>
      <c r="G78" t="n">
        <v>-64.56</v>
      </c>
      <c r="H78" t="n">
        <v>5</v>
      </c>
      <c r="I78" t="n">
        <v>25</v>
      </c>
      <c r="J78" t="n">
        <v>5</v>
      </c>
      <c r="K78" t="b">
        <v>0</v>
      </c>
      <c r="L78" t="b">
        <v>0</v>
      </c>
      <c r="M78" t="inlineStr">
        <is>
          <t>AVOID</t>
        </is>
      </c>
    </row>
    <row r="79">
      <c r="A79" t="inlineStr">
        <is>
          <t>AVGO</t>
        </is>
      </c>
      <c r="B79" t="inlineStr">
        <is>
          <t>2026-07-30</t>
        </is>
      </c>
      <c r="C79" t="n">
        <v>385.99</v>
      </c>
      <c r="D79" t="n">
        <v>44.19</v>
      </c>
      <c r="E79" t="n">
        <v>0.64</v>
      </c>
      <c r="F79" t="n">
        <v>-7.38</v>
      </c>
      <c r="G79" t="n">
        <v>-19.72</v>
      </c>
      <c r="H79" t="n">
        <v>35</v>
      </c>
      <c r="I79" t="n">
        <v>40</v>
      </c>
      <c r="J79" t="n">
        <v>35</v>
      </c>
      <c r="K79" t="b">
        <v>0</v>
      </c>
      <c r="L79" t="b">
        <v>0</v>
      </c>
      <c r="M79" t="inlineStr">
        <is>
          <t>AVOID</t>
        </is>
      </c>
    </row>
    <row r="80">
      <c r="A80" t="inlineStr">
        <is>
          <t>AVIR</t>
        </is>
      </c>
      <c r="B80" t="inlineStr">
        <is>
          <t>2026-07-30</t>
        </is>
      </c>
      <c r="C80" t="n">
        <v>4.78</v>
      </c>
      <c r="D80" t="n">
        <v>44</v>
      </c>
      <c r="E80" t="n">
        <v>0.9</v>
      </c>
      <c r="F80" t="n">
        <v>-13.25</v>
      </c>
      <c r="G80" t="n">
        <v>-22.28</v>
      </c>
      <c r="H80" t="n">
        <v>45</v>
      </c>
      <c r="I80" t="n">
        <v>60</v>
      </c>
      <c r="J80" t="n">
        <v>45</v>
      </c>
      <c r="K80" t="b">
        <v>0</v>
      </c>
      <c r="L80" t="b">
        <v>0</v>
      </c>
      <c r="M80" t="inlineStr">
        <is>
          <t>AVOID</t>
        </is>
      </c>
    </row>
    <row r="81">
      <c r="A81" t="inlineStr">
        <is>
          <t>AVO</t>
        </is>
      </c>
      <c r="B81" t="inlineStr">
        <is>
          <t>2026-07-30</t>
        </is>
      </c>
      <c r="C81" t="n">
        <v>12.77</v>
      </c>
      <c r="D81" t="n">
        <v>40.6</v>
      </c>
      <c r="E81" t="n">
        <v>0.29</v>
      </c>
      <c r="F81" t="n">
        <v>-7.86</v>
      </c>
      <c r="G81" t="n">
        <v>-16.75</v>
      </c>
      <c r="H81" t="n">
        <v>35</v>
      </c>
      <c r="I81" t="n">
        <v>60</v>
      </c>
      <c r="J81" t="n">
        <v>35</v>
      </c>
      <c r="K81" t="b">
        <v>0</v>
      </c>
      <c r="L81" t="b">
        <v>0</v>
      </c>
      <c r="M81" t="inlineStr">
        <is>
          <t>AVOID</t>
        </is>
      </c>
    </row>
    <row r="82">
      <c r="A82" t="inlineStr">
        <is>
          <t>AVT</t>
        </is>
      </c>
      <c r="B82" t="inlineStr">
        <is>
          <t>2026-07-30</t>
        </is>
      </c>
      <c r="C82" t="n">
        <v>87.36</v>
      </c>
      <c r="D82" t="n">
        <v>50.54</v>
      </c>
      <c r="E82" t="n">
        <v>0.36</v>
      </c>
      <c r="F82" t="n">
        <v>6.28</v>
      </c>
      <c r="G82" t="n">
        <v>-5.99</v>
      </c>
      <c r="H82" t="n">
        <v>50</v>
      </c>
      <c r="I82" t="n">
        <v>85</v>
      </c>
      <c r="J82" t="n">
        <v>60</v>
      </c>
      <c r="K82" t="b">
        <v>0</v>
      </c>
      <c r="L82" t="b">
        <v>0</v>
      </c>
      <c r="M82" t="inlineStr">
        <is>
          <t>AVOID</t>
        </is>
      </c>
    </row>
    <row r="83">
      <c r="A83" t="inlineStr">
        <is>
          <t>AXGN</t>
        </is>
      </c>
      <c r="B83" t="inlineStr">
        <is>
          <t>2026-07-30</t>
        </is>
      </c>
      <c r="C83" t="n">
        <v>42.1</v>
      </c>
      <c r="D83" t="n">
        <v>59.2</v>
      </c>
      <c r="E83" t="n">
        <v>0.61</v>
      </c>
      <c r="F83" t="n">
        <v>-2.56</v>
      </c>
      <c r="G83" t="n">
        <v>-8.869999999999999</v>
      </c>
      <c r="H83" t="n">
        <v>50</v>
      </c>
      <c r="I83" t="n">
        <v>85</v>
      </c>
      <c r="J83" t="n">
        <v>60</v>
      </c>
      <c r="K83" t="b">
        <v>0</v>
      </c>
      <c r="L83" t="b">
        <v>0</v>
      </c>
      <c r="M83" t="inlineStr">
        <is>
          <t>AVOID</t>
        </is>
      </c>
    </row>
    <row r="84">
      <c r="A84" t="inlineStr">
        <is>
          <t>AXSM</t>
        </is>
      </c>
      <c r="B84" t="inlineStr">
        <is>
          <t>2026-07-30</t>
        </is>
      </c>
      <c r="C84" t="n">
        <v>233.85</v>
      </c>
      <c r="D84" t="n">
        <v>50.04</v>
      </c>
      <c r="E84" t="n">
        <v>0.5600000000000001</v>
      </c>
      <c r="F84" t="n">
        <v>12.57</v>
      </c>
      <c r="G84" t="n">
        <v>-8.35</v>
      </c>
      <c r="H84" t="n">
        <v>30</v>
      </c>
      <c r="I84" t="n">
        <v>65</v>
      </c>
      <c r="J84" t="n">
        <v>50</v>
      </c>
      <c r="K84" t="b">
        <v>0</v>
      </c>
      <c r="L84" t="b">
        <v>0</v>
      </c>
      <c r="M84" t="inlineStr">
        <is>
          <t>AVOID</t>
        </is>
      </c>
    </row>
    <row r="85">
      <c r="A85" t="inlineStr">
        <is>
          <t>AXTI</t>
        </is>
      </c>
      <c r="B85" t="inlineStr">
        <is>
          <t>2026-07-30</t>
        </is>
      </c>
      <c r="C85" t="n">
        <v>46.34</v>
      </c>
      <c r="D85" t="n">
        <v>41.89</v>
      </c>
      <c r="E85" t="n">
        <v>1.26</v>
      </c>
      <c r="F85" t="n">
        <v>-41.5</v>
      </c>
      <c r="G85" t="n">
        <v>-67.09</v>
      </c>
      <c r="H85" t="n">
        <v>10</v>
      </c>
      <c r="I85" t="n">
        <v>15</v>
      </c>
      <c r="J85" t="n">
        <v>20</v>
      </c>
      <c r="K85" t="b">
        <v>0</v>
      </c>
      <c r="L85" t="b">
        <v>0</v>
      </c>
      <c r="M85" t="inlineStr">
        <is>
          <t>AVOID</t>
        </is>
      </c>
    </row>
    <row r="86">
      <c r="A86" t="inlineStr">
        <is>
          <t>AZN</t>
        </is>
      </c>
      <c r="B86" t="inlineStr">
        <is>
          <t>2026-07-30</t>
        </is>
      </c>
      <c r="C86" t="n">
        <v>171.49</v>
      </c>
      <c r="D86" t="n">
        <v>49.8</v>
      </c>
      <c r="E86" t="n">
        <v>0.62</v>
      </c>
      <c r="F86" t="n">
        <v>-8.48</v>
      </c>
      <c r="G86" t="n">
        <v>-17.8</v>
      </c>
      <c r="H86" t="n">
        <v>0</v>
      </c>
      <c r="I86" t="n">
        <v>40</v>
      </c>
      <c r="J86" t="n">
        <v>0</v>
      </c>
      <c r="K86" t="b">
        <v>0</v>
      </c>
      <c r="L86" t="b">
        <v>0</v>
      </c>
      <c r="M86" t="inlineStr">
        <is>
          <t>AVOID</t>
        </is>
      </c>
    </row>
    <row r="87">
      <c r="A87" t="inlineStr">
        <is>
          <t>BAND</t>
        </is>
      </c>
      <c r="B87" t="inlineStr">
        <is>
          <t>2026-07-30</t>
        </is>
      </c>
      <c r="C87" t="n">
        <v>39.57</v>
      </c>
      <c r="D87" t="n">
        <v>18.03</v>
      </c>
      <c r="E87" t="n">
        <v>1.12</v>
      </c>
      <c r="F87" t="n">
        <v>7.5</v>
      </c>
      <c r="G87" t="n">
        <v>-49.55</v>
      </c>
      <c r="H87" t="n">
        <v>35</v>
      </c>
      <c r="I87" t="n">
        <v>40</v>
      </c>
      <c r="J87" t="n">
        <v>35</v>
      </c>
      <c r="K87" t="b">
        <v>0</v>
      </c>
      <c r="L87" t="b">
        <v>0</v>
      </c>
      <c r="M87" t="inlineStr">
        <is>
          <t>AVOID</t>
        </is>
      </c>
    </row>
    <row r="88">
      <c r="A88" t="inlineStr">
        <is>
          <t>BANR</t>
        </is>
      </c>
      <c r="B88" t="inlineStr">
        <is>
          <t>2026-07-30</t>
        </is>
      </c>
      <c r="C88" t="n">
        <v>69.95</v>
      </c>
      <c r="D88" t="n">
        <v>60.65</v>
      </c>
      <c r="E88" t="n">
        <v>0.24</v>
      </c>
      <c r="F88" t="n">
        <v>5.39</v>
      </c>
      <c r="G88" t="n">
        <v>-3.42</v>
      </c>
      <c r="H88" t="n">
        <v>60</v>
      </c>
      <c r="I88" t="n">
        <v>85</v>
      </c>
      <c r="J88" t="n">
        <v>80</v>
      </c>
      <c r="K88" t="b">
        <v>0</v>
      </c>
      <c r="L88" t="b">
        <v>0</v>
      </c>
      <c r="M88" t="inlineStr">
        <is>
          <t>AVOID</t>
        </is>
      </c>
    </row>
    <row r="89">
      <c r="A89" t="inlineStr">
        <is>
          <t>BATRK</t>
        </is>
      </c>
      <c r="B89" t="inlineStr">
        <is>
          <t>2026-07-30</t>
        </is>
      </c>
      <c r="C89" t="n">
        <v>50.81</v>
      </c>
      <c r="D89" t="n">
        <v>47.51</v>
      </c>
      <c r="E89" t="n">
        <v>0.67</v>
      </c>
      <c r="F89" t="n">
        <v>2.82</v>
      </c>
      <c r="G89" t="n">
        <v>-3.91</v>
      </c>
      <c r="H89" t="n">
        <v>35</v>
      </c>
      <c r="I89" t="n">
        <v>65</v>
      </c>
      <c r="J89" t="n">
        <v>55</v>
      </c>
      <c r="K89" t="b">
        <v>0</v>
      </c>
      <c r="L89" t="b">
        <v>0</v>
      </c>
      <c r="M89" t="inlineStr">
        <is>
          <t>AVOID</t>
        </is>
      </c>
    </row>
    <row r="90">
      <c r="A90" t="inlineStr">
        <is>
          <t>BBBY</t>
        </is>
      </c>
      <c r="B90" t="inlineStr">
        <is>
          <t>2026-07-30</t>
        </is>
      </c>
      <c r="C90" t="n">
        <v>5</v>
      </c>
      <c r="D90" t="n">
        <v>44.49</v>
      </c>
      <c r="E90" t="n">
        <v>0.4</v>
      </c>
      <c r="F90" t="n">
        <v>2.13</v>
      </c>
      <c r="G90" t="n">
        <v>-58.67</v>
      </c>
      <c r="H90" t="n">
        <v>0</v>
      </c>
      <c r="I90" t="n">
        <v>0</v>
      </c>
      <c r="J90" t="n">
        <v>0</v>
      </c>
      <c r="K90" t="b">
        <v>0</v>
      </c>
      <c r="L90" t="b">
        <v>0</v>
      </c>
      <c r="M90" t="inlineStr">
        <is>
          <t>AVOID</t>
        </is>
      </c>
    </row>
    <row r="91">
      <c r="A91" t="inlineStr">
        <is>
          <t>BBIO</t>
        </is>
      </c>
      <c r="B91" t="inlineStr">
        <is>
          <t>2026-07-30</t>
        </is>
      </c>
      <c r="C91" t="n">
        <v>81.38</v>
      </c>
      <c r="D91" t="n">
        <v>37.66</v>
      </c>
      <c r="E91" t="n">
        <v>0.42</v>
      </c>
      <c r="F91" t="n">
        <v>14.44</v>
      </c>
      <c r="G91" t="n">
        <v>-9.75</v>
      </c>
      <c r="H91" t="n">
        <v>45</v>
      </c>
      <c r="I91" t="n">
        <v>60</v>
      </c>
      <c r="J91" t="n">
        <v>65</v>
      </c>
      <c r="K91" t="b">
        <v>0</v>
      </c>
      <c r="L91" t="b">
        <v>0</v>
      </c>
      <c r="M91" t="inlineStr">
        <is>
          <t>AVOID</t>
        </is>
      </c>
    </row>
    <row r="92">
      <c r="A92" t="inlineStr">
        <is>
          <t>BCYC</t>
        </is>
      </c>
      <c r="B92" t="inlineStr">
        <is>
          <t>2026-07-30</t>
        </is>
      </c>
      <c r="C92" t="n">
        <v>4.02</v>
      </c>
      <c r="D92" t="n">
        <v>31.66</v>
      </c>
      <c r="E92" t="n">
        <v>0.98</v>
      </c>
      <c r="F92" t="n">
        <v>-14.75</v>
      </c>
      <c r="G92" t="n">
        <v>-54.64</v>
      </c>
      <c r="H92" t="n">
        <v>0</v>
      </c>
      <c r="I92" t="n">
        <v>0</v>
      </c>
      <c r="J92" t="n">
        <v>0</v>
      </c>
      <c r="K92" t="b">
        <v>0</v>
      </c>
      <c r="L92" t="b">
        <v>0</v>
      </c>
      <c r="M92" t="inlineStr">
        <is>
          <t>AVOID</t>
        </is>
      </c>
    </row>
    <row r="93">
      <c r="A93" t="inlineStr">
        <is>
          <t>BDTX</t>
        </is>
      </c>
      <c r="B93" t="inlineStr">
        <is>
          <t>2026-07-30</t>
        </is>
      </c>
      <c r="C93" t="n">
        <v>1.7</v>
      </c>
      <c r="D93" t="n">
        <v>30.2</v>
      </c>
      <c r="E93" t="n">
        <v>0.45</v>
      </c>
      <c r="F93" t="n">
        <v>-35.85</v>
      </c>
      <c r="G93" t="n">
        <v>-65.09</v>
      </c>
      <c r="H93" t="n">
        <v>0</v>
      </c>
      <c r="I93" t="n">
        <v>0</v>
      </c>
      <c r="J93" t="n">
        <v>0</v>
      </c>
      <c r="K93" t="b">
        <v>0</v>
      </c>
      <c r="L93" t="b">
        <v>0</v>
      </c>
      <c r="M93" t="inlineStr">
        <is>
          <t>AVOID</t>
        </is>
      </c>
    </row>
    <row r="94">
      <c r="A94" t="inlineStr">
        <is>
          <t>BEAM</t>
        </is>
      </c>
      <c r="B94" t="inlineStr">
        <is>
          <t>2026-07-30</t>
        </is>
      </c>
      <c r="C94" t="n">
        <v>25.82</v>
      </c>
      <c r="D94" t="n">
        <v>19.42</v>
      </c>
      <c r="E94" t="n">
        <v>0.36</v>
      </c>
      <c r="F94" t="n">
        <v>-14.89</v>
      </c>
      <c r="G94" t="n">
        <v>-31.92</v>
      </c>
      <c r="H94" t="n">
        <v>10</v>
      </c>
      <c r="I94" t="n">
        <v>0</v>
      </c>
      <c r="J94" t="n">
        <v>10</v>
      </c>
      <c r="K94" t="b">
        <v>0</v>
      </c>
      <c r="L94" t="b">
        <v>0</v>
      </c>
      <c r="M94" t="inlineStr">
        <is>
          <t>AVOID</t>
        </is>
      </c>
    </row>
    <row r="95">
      <c r="A95" t="inlineStr">
        <is>
          <t>BEAT</t>
        </is>
      </c>
      <c r="B95" t="inlineStr">
        <is>
          <t>2026-07-30</t>
        </is>
      </c>
      <c r="C95" t="n">
        <v>0.52</v>
      </c>
      <c r="D95" t="n">
        <v>39.29</v>
      </c>
      <c r="E95" t="n">
        <v>0.12</v>
      </c>
      <c r="F95" t="n">
        <v>-39.52</v>
      </c>
      <c r="G95" t="n">
        <v>-84.92</v>
      </c>
      <c r="H95" t="n">
        <v>0</v>
      </c>
      <c r="I95" t="n">
        <v>0</v>
      </c>
      <c r="J95" t="n">
        <v>0</v>
      </c>
      <c r="K95" t="b">
        <v>0</v>
      </c>
      <c r="L95" t="b">
        <v>0</v>
      </c>
      <c r="M95" t="inlineStr">
        <is>
          <t>AVOID</t>
        </is>
      </c>
    </row>
    <row r="96">
      <c r="A96" t="inlineStr">
        <is>
          <t>BEEM</t>
        </is>
      </c>
      <c r="B96" t="inlineStr">
        <is>
          <t>2026-07-30</t>
        </is>
      </c>
      <c r="C96" t="n">
        <v>1.03</v>
      </c>
      <c r="D96" t="n">
        <v>35.48</v>
      </c>
      <c r="E96" t="n">
        <v>0.46</v>
      </c>
      <c r="F96" t="n">
        <v>-45.79</v>
      </c>
      <c r="G96" t="n">
        <v>-73.45</v>
      </c>
      <c r="H96" t="n">
        <v>0</v>
      </c>
      <c r="I96" t="n">
        <v>0</v>
      </c>
      <c r="J96" t="n">
        <v>0</v>
      </c>
      <c r="K96" t="b">
        <v>0</v>
      </c>
      <c r="L96" t="b">
        <v>0</v>
      </c>
      <c r="M96" t="inlineStr">
        <is>
          <t>AVOID</t>
        </is>
      </c>
    </row>
    <row r="97">
      <c r="A97" t="inlineStr">
        <is>
          <t>BHF</t>
        </is>
      </c>
      <c r="B97" t="inlineStr">
        <is>
          <t>2026-07-30</t>
        </is>
      </c>
      <c r="C97" t="n">
        <v>63.15</v>
      </c>
      <c r="D97" t="n">
        <v>31.8</v>
      </c>
      <c r="E97" t="n">
        <v>0.49</v>
      </c>
      <c r="F97" t="n">
        <v>1.44</v>
      </c>
      <c r="G97" t="n">
        <v>-5.19</v>
      </c>
      <c r="H97" t="n">
        <v>35</v>
      </c>
      <c r="I97" t="n">
        <v>40</v>
      </c>
      <c r="J97" t="n">
        <v>45</v>
      </c>
      <c r="K97" t="b">
        <v>0</v>
      </c>
      <c r="L97" t="b">
        <v>0</v>
      </c>
      <c r="M97" t="inlineStr">
        <is>
          <t>AVOID</t>
        </is>
      </c>
    </row>
    <row r="98">
      <c r="A98" t="inlineStr">
        <is>
          <t>BIDU</t>
        </is>
      </c>
      <c r="B98" t="inlineStr">
        <is>
          <t>2026-07-30</t>
        </is>
      </c>
      <c r="C98" t="n">
        <v>107.67</v>
      </c>
      <c r="D98" t="n">
        <v>31.52</v>
      </c>
      <c r="E98" t="n">
        <v>0.77</v>
      </c>
      <c r="F98" t="n">
        <v>-14.91</v>
      </c>
      <c r="G98" t="n">
        <v>-33.75</v>
      </c>
      <c r="H98" t="n">
        <v>0</v>
      </c>
      <c r="I98" t="n">
        <v>15</v>
      </c>
      <c r="J98" t="n">
        <v>0</v>
      </c>
      <c r="K98" t="b">
        <v>0</v>
      </c>
      <c r="L98" t="b">
        <v>0</v>
      </c>
      <c r="M98" t="inlineStr">
        <is>
          <t>AVOID</t>
        </is>
      </c>
    </row>
    <row r="99">
      <c r="A99" t="inlineStr">
        <is>
          <t>BIIB</t>
        </is>
      </c>
      <c r="B99" t="inlineStr">
        <is>
          <t>2026-07-30</t>
        </is>
      </c>
      <c r="C99" t="n">
        <v>207.8</v>
      </c>
      <c r="D99" t="n">
        <v>55.51</v>
      </c>
      <c r="E99" t="n">
        <v>0.36</v>
      </c>
      <c r="F99" t="n">
        <v>9.789999999999999</v>
      </c>
      <c r="G99" t="n">
        <v>-4.07</v>
      </c>
      <c r="H99" t="n">
        <v>60</v>
      </c>
      <c r="I99" t="n">
        <v>85</v>
      </c>
      <c r="J99" t="n">
        <v>80</v>
      </c>
      <c r="K99" t="b">
        <v>0</v>
      </c>
      <c r="L99" t="b">
        <v>0</v>
      </c>
      <c r="M99" t="inlineStr">
        <is>
          <t>AVOID</t>
        </is>
      </c>
    </row>
    <row r="100">
      <c r="A100" t="inlineStr">
        <is>
          <t>BILI</t>
        </is>
      </c>
      <c r="B100" t="inlineStr">
        <is>
          <t>2026-07-30</t>
        </is>
      </c>
      <c r="C100" t="n">
        <v>18.67</v>
      </c>
      <c r="D100" t="n">
        <v>58.35</v>
      </c>
      <c r="E100" t="n">
        <v>0.83</v>
      </c>
      <c r="F100" t="n">
        <v>-15.23</v>
      </c>
      <c r="G100" t="n">
        <v>-48.01</v>
      </c>
      <c r="H100" t="n">
        <v>35</v>
      </c>
      <c r="I100" t="n">
        <v>45</v>
      </c>
      <c r="J100" t="n">
        <v>35</v>
      </c>
      <c r="K100" t="b">
        <v>0</v>
      </c>
      <c r="L100" t="b">
        <v>0</v>
      </c>
      <c r="M100" t="inlineStr">
        <is>
          <t>AVOID</t>
        </is>
      </c>
    </row>
    <row r="101">
      <c r="A101" t="inlineStr">
        <is>
          <t>BJRI</t>
        </is>
      </c>
      <c r="B101" t="inlineStr">
        <is>
          <t>2026-07-30</t>
        </is>
      </c>
      <c r="C101" t="n">
        <v>71.84999999999999</v>
      </c>
      <c r="D101" t="n">
        <v>73.2</v>
      </c>
      <c r="E101" t="n">
        <v>0.85</v>
      </c>
      <c r="F101" t="n">
        <v>87.11</v>
      </c>
      <c r="G101" t="n">
        <v>0</v>
      </c>
      <c r="H101" t="n">
        <v>60</v>
      </c>
      <c r="I101" t="n">
        <v>45</v>
      </c>
      <c r="J101" t="n">
        <v>100</v>
      </c>
      <c r="K101" t="b">
        <v>1</v>
      </c>
      <c r="L101" t="b">
        <v>0</v>
      </c>
      <c r="M101" t="inlineStr">
        <is>
          <t>ELITE LEADER</t>
        </is>
      </c>
    </row>
    <row r="102">
      <c r="A102" t="inlineStr">
        <is>
          <t>BKNG</t>
        </is>
      </c>
      <c r="B102" t="inlineStr">
        <is>
          <t>2026-07-30</t>
        </is>
      </c>
      <c r="C102" t="n">
        <v>193.12</v>
      </c>
      <c r="D102" t="n">
        <v>61.93</v>
      </c>
      <c r="E102" t="n">
        <v>0.7</v>
      </c>
      <c r="F102" t="n">
        <v>14.99</v>
      </c>
      <c r="G102" t="n">
        <v>-14.9</v>
      </c>
      <c r="H102" t="n">
        <v>50</v>
      </c>
      <c r="I102" t="n">
        <v>70</v>
      </c>
      <c r="J102" t="n">
        <v>60</v>
      </c>
      <c r="K102" t="b">
        <v>0</v>
      </c>
      <c r="L102" t="b">
        <v>0</v>
      </c>
      <c r="M102" t="inlineStr">
        <is>
          <t>AVOID</t>
        </is>
      </c>
    </row>
    <row r="103">
      <c r="A103" t="inlineStr">
        <is>
          <t>BL</t>
        </is>
      </c>
      <c r="B103" t="inlineStr">
        <is>
          <t>2026-07-30</t>
        </is>
      </c>
      <c r="C103" t="n">
        <v>30.63</v>
      </c>
      <c r="D103" t="n">
        <v>55.88</v>
      </c>
      <c r="E103" t="n">
        <v>0.41</v>
      </c>
      <c r="F103" t="n">
        <v>-1.98</v>
      </c>
      <c r="G103" t="n">
        <v>-47.93</v>
      </c>
      <c r="H103" t="n">
        <v>35</v>
      </c>
      <c r="I103" t="n">
        <v>45</v>
      </c>
      <c r="J103" t="n">
        <v>35</v>
      </c>
      <c r="K103" t="b">
        <v>0</v>
      </c>
      <c r="L103" t="b">
        <v>0</v>
      </c>
      <c r="M103" t="inlineStr">
        <is>
          <t>AVOID</t>
        </is>
      </c>
    </row>
    <row r="104">
      <c r="A104" t="inlineStr">
        <is>
          <t>BLBD</t>
        </is>
      </c>
      <c r="B104" t="inlineStr">
        <is>
          <t>2026-07-30</t>
        </is>
      </c>
      <c r="C104" t="n">
        <v>74.05</v>
      </c>
      <c r="D104" t="n">
        <v>40.53</v>
      </c>
      <c r="E104" t="n">
        <v>0.36</v>
      </c>
      <c r="F104" t="n">
        <v>15.5</v>
      </c>
      <c r="G104" t="n">
        <v>-9.140000000000001</v>
      </c>
      <c r="H104" t="n">
        <v>35</v>
      </c>
      <c r="I104" t="n">
        <v>25</v>
      </c>
      <c r="J104" t="n">
        <v>55</v>
      </c>
      <c r="K104" t="b">
        <v>0</v>
      </c>
      <c r="L104" t="b">
        <v>0</v>
      </c>
      <c r="M104" t="inlineStr">
        <is>
          <t>AVOID</t>
        </is>
      </c>
    </row>
    <row r="105">
      <c r="A105" t="inlineStr">
        <is>
          <t>BLDP</t>
        </is>
      </c>
      <c r="B105" t="inlineStr">
        <is>
          <t>2026-07-30</t>
        </is>
      </c>
      <c r="C105" t="n">
        <v>2.76</v>
      </c>
      <c r="D105" t="n">
        <v>40.52</v>
      </c>
      <c r="E105" t="n">
        <v>0.5</v>
      </c>
      <c r="F105" t="n">
        <v>-18.97</v>
      </c>
      <c r="G105" t="n">
        <v>-56.82</v>
      </c>
      <c r="H105" t="n">
        <v>10</v>
      </c>
      <c r="I105" t="n">
        <v>0</v>
      </c>
      <c r="J105" t="n">
        <v>10</v>
      </c>
      <c r="K105" t="b">
        <v>0</v>
      </c>
      <c r="L105" t="b">
        <v>0</v>
      </c>
      <c r="M105" t="inlineStr">
        <is>
          <t>AVOID</t>
        </is>
      </c>
    </row>
    <row r="106">
      <c r="A106" t="inlineStr">
        <is>
          <t>BLDR</t>
        </is>
      </c>
      <c r="B106" t="inlineStr">
        <is>
          <t>2026-07-30</t>
        </is>
      </c>
      <c r="C106" t="n">
        <v>65.72</v>
      </c>
      <c r="D106" t="n">
        <v>32.49</v>
      </c>
      <c r="E106" t="n">
        <v>1.2</v>
      </c>
      <c r="F106" t="n">
        <v>-16.9</v>
      </c>
      <c r="G106" t="n">
        <v>-55.95</v>
      </c>
      <c r="H106" t="n">
        <v>0</v>
      </c>
      <c r="I106" t="n">
        <v>15</v>
      </c>
      <c r="J106" t="n">
        <v>10</v>
      </c>
      <c r="K106" t="b">
        <v>0</v>
      </c>
      <c r="L106" t="b">
        <v>0</v>
      </c>
      <c r="M106" t="inlineStr">
        <is>
          <t>AVOID</t>
        </is>
      </c>
    </row>
    <row r="107">
      <c r="A107" t="inlineStr">
        <is>
          <t>BLFS</t>
        </is>
      </c>
      <c r="B107" t="inlineStr">
        <is>
          <t>2026-07-30</t>
        </is>
      </c>
      <c r="C107" t="n">
        <v>31.66</v>
      </c>
      <c r="D107" t="n">
        <v>68.01000000000001</v>
      </c>
      <c r="E107" t="n">
        <v>0.11</v>
      </c>
      <c r="F107" t="n">
        <v>50.19</v>
      </c>
      <c r="G107" t="n">
        <v>-1</v>
      </c>
      <c r="H107" t="n">
        <v>60</v>
      </c>
      <c r="I107" t="n">
        <v>45</v>
      </c>
      <c r="J107" t="n">
        <v>100</v>
      </c>
      <c r="K107" t="b">
        <v>1</v>
      </c>
      <c r="L107" t="b">
        <v>0</v>
      </c>
      <c r="M107" t="inlineStr">
        <is>
          <t>ELITE LEADER</t>
        </is>
      </c>
    </row>
    <row r="108">
      <c r="A108" t="inlineStr">
        <is>
          <t>BLKB</t>
        </is>
      </c>
      <c r="B108" t="inlineStr">
        <is>
          <t>2026-07-30</t>
        </is>
      </c>
      <c r="C108" t="n">
        <v>39.98</v>
      </c>
      <c r="D108" t="n">
        <v>73.8</v>
      </c>
      <c r="E108" t="n">
        <v>0.93</v>
      </c>
      <c r="F108" t="n">
        <v>7.56</v>
      </c>
      <c r="G108" t="n">
        <v>-44.17</v>
      </c>
      <c r="H108" t="n">
        <v>35</v>
      </c>
      <c r="I108" t="n">
        <v>20</v>
      </c>
      <c r="J108" t="n">
        <v>35</v>
      </c>
      <c r="K108" t="b">
        <v>0</v>
      </c>
      <c r="L108" t="b">
        <v>0</v>
      </c>
      <c r="M108" t="inlineStr">
        <is>
          <t>AVOID</t>
        </is>
      </c>
    </row>
    <row r="109">
      <c r="A109" t="inlineStr">
        <is>
          <t>BLMN</t>
        </is>
      </c>
      <c r="B109" t="inlineStr">
        <is>
          <t>2026-07-30</t>
        </is>
      </c>
      <c r="C109" t="n">
        <v>8.800000000000001</v>
      </c>
      <c r="D109" t="n">
        <v>60.45</v>
      </c>
      <c r="E109" t="n">
        <v>0.28</v>
      </c>
      <c r="F109" t="n">
        <v>44.26</v>
      </c>
      <c r="G109" t="n">
        <v>-5.89</v>
      </c>
      <c r="H109" t="n">
        <v>60</v>
      </c>
      <c r="I109" t="n">
        <v>70</v>
      </c>
      <c r="J109" t="n">
        <v>100</v>
      </c>
      <c r="K109" t="b">
        <v>0</v>
      </c>
      <c r="L109" t="b">
        <v>0</v>
      </c>
      <c r="M109" t="inlineStr">
        <is>
          <t>HIGH CONVICTION</t>
        </is>
      </c>
    </row>
    <row r="110">
      <c r="A110" t="inlineStr">
        <is>
          <t>BLNK</t>
        </is>
      </c>
      <c r="B110" t="inlineStr">
        <is>
          <t>2026-07-30</t>
        </is>
      </c>
      <c r="C110" t="n">
        <v>0.5</v>
      </c>
      <c r="D110" t="n">
        <v>37.63</v>
      </c>
      <c r="E110" t="n">
        <v>1.44</v>
      </c>
      <c r="F110" t="n">
        <v>-31.39</v>
      </c>
      <c r="G110" t="n">
        <v>-80.09999999999999</v>
      </c>
      <c r="H110" t="n">
        <v>0</v>
      </c>
      <c r="I110" t="n">
        <v>15</v>
      </c>
      <c r="J110" t="n">
        <v>10</v>
      </c>
      <c r="K110" t="b">
        <v>0</v>
      </c>
      <c r="L110" t="b">
        <v>0</v>
      </c>
      <c r="M110" t="inlineStr">
        <is>
          <t>AVOID</t>
        </is>
      </c>
    </row>
    <row r="111">
      <c r="A111" t="inlineStr">
        <is>
          <t>BMRN</t>
        </is>
      </c>
      <c r="B111" t="inlineStr">
        <is>
          <t>2026-07-30</t>
        </is>
      </c>
      <c r="C111" t="n">
        <v>60.53</v>
      </c>
      <c r="D111" t="n">
        <v>57.82</v>
      </c>
      <c r="E111" t="n">
        <v>0.4</v>
      </c>
      <c r="F111" t="n">
        <v>12.28</v>
      </c>
      <c r="G111" t="n">
        <v>-5.54</v>
      </c>
      <c r="H111" t="n">
        <v>60</v>
      </c>
      <c r="I111" t="n">
        <v>85</v>
      </c>
      <c r="J111" t="n">
        <v>80</v>
      </c>
      <c r="K111" t="b">
        <v>0</v>
      </c>
      <c r="L111" t="b">
        <v>0</v>
      </c>
      <c r="M111" t="inlineStr">
        <is>
          <t>AVOID</t>
        </is>
      </c>
    </row>
    <row r="112">
      <c r="A112" t="inlineStr">
        <is>
          <t>BNTX</t>
        </is>
      </c>
      <c r="B112" t="inlineStr">
        <is>
          <t>2026-07-30</t>
        </is>
      </c>
      <c r="C112" t="n">
        <v>92.81999999999999</v>
      </c>
      <c r="D112" t="n">
        <v>55.58</v>
      </c>
      <c r="E112" t="n">
        <v>1.11</v>
      </c>
      <c r="F112" t="n">
        <v>-10.28</v>
      </c>
      <c r="G112" t="n">
        <v>-22.22</v>
      </c>
      <c r="H112" t="n">
        <v>35</v>
      </c>
      <c r="I112" t="n">
        <v>75</v>
      </c>
      <c r="J112" t="n">
        <v>35</v>
      </c>
      <c r="K112" t="b">
        <v>0</v>
      </c>
      <c r="L112" t="b">
        <v>0</v>
      </c>
      <c r="M112" t="inlineStr">
        <is>
          <t>AVOID</t>
        </is>
      </c>
    </row>
    <row r="113">
      <c r="A113" t="inlineStr">
        <is>
          <t>BPOP</t>
        </is>
      </c>
      <c r="B113" t="inlineStr">
        <is>
          <t>2026-07-30</t>
        </is>
      </c>
      <c r="C113" t="n">
        <v>176.01</v>
      </c>
      <c r="D113" t="n">
        <v>61.4</v>
      </c>
      <c r="E113" t="n">
        <v>0.32</v>
      </c>
      <c r="F113" t="n">
        <v>17.67</v>
      </c>
      <c r="G113" t="n">
        <v>0</v>
      </c>
      <c r="H113" t="n">
        <v>60</v>
      </c>
      <c r="I113" t="n">
        <v>85</v>
      </c>
      <c r="J113" t="n">
        <v>100</v>
      </c>
      <c r="K113" t="b">
        <v>0</v>
      </c>
      <c r="L113" t="b">
        <v>0</v>
      </c>
      <c r="M113" t="inlineStr">
        <is>
          <t>HIGH CONVICTION</t>
        </is>
      </c>
    </row>
    <row r="114">
      <c r="A114" t="inlineStr">
        <is>
          <t>BRKR</t>
        </is>
      </c>
      <c r="B114" t="inlineStr">
        <is>
          <t>2026-07-30</t>
        </is>
      </c>
      <c r="C114" t="n">
        <v>63.85</v>
      </c>
      <c r="D114" t="n">
        <v>58.45</v>
      </c>
      <c r="E114" t="n">
        <v>0.62</v>
      </c>
      <c r="F114" t="n">
        <v>74.06999999999999</v>
      </c>
      <c r="G114" t="n">
        <v>0</v>
      </c>
      <c r="H114" t="n">
        <v>60</v>
      </c>
      <c r="I114" t="n">
        <v>70</v>
      </c>
      <c r="J114" t="n">
        <v>100</v>
      </c>
      <c r="K114" t="b">
        <v>1</v>
      </c>
      <c r="L114" t="b">
        <v>0</v>
      </c>
      <c r="M114" t="inlineStr">
        <is>
          <t>ELITE LEADER</t>
        </is>
      </c>
    </row>
    <row r="115">
      <c r="A115" t="inlineStr">
        <is>
          <t>BSY</t>
        </is>
      </c>
      <c r="B115" t="inlineStr">
        <is>
          <t>2026-07-30</t>
        </is>
      </c>
      <c r="C115" t="n">
        <v>35.33</v>
      </c>
      <c r="D115" t="n">
        <v>62.28</v>
      </c>
      <c r="E115" t="n">
        <v>0.51</v>
      </c>
      <c r="F115" t="n">
        <v>8.51</v>
      </c>
      <c r="G115" t="n">
        <v>-38.77</v>
      </c>
      <c r="H115" t="n">
        <v>35</v>
      </c>
      <c r="I115" t="n">
        <v>45</v>
      </c>
      <c r="J115" t="n">
        <v>35</v>
      </c>
      <c r="K115" t="b">
        <v>0</v>
      </c>
      <c r="L115" t="b">
        <v>0</v>
      </c>
      <c r="M115" t="inlineStr">
        <is>
          <t>AVOID</t>
        </is>
      </c>
    </row>
    <row r="116">
      <c r="A116" t="inlineStr">
        <is>
          <t>BTAI</t>
        </is>
      </c>
      <c r="B116" t="inlineStr">
        <is>
          <t>2026-07-30</t>
        </is>
      </c>
      <c r="C116" t="n">
        <v>0.79</v>
      </c>
      <c r="D116" t="n">
        <v>47.07</v>
      </c>
      <c r="E116" t="n">
        <v>0.43</v>
      </c>
      <c r="F116" t="n">
        <v>-36.16</v>
      </c>
      <c r="G116" t="n">
        <v>-88.45</v>
      </c>
      <c r="H116" t="n">
        <v>0</v>
      </c>
      <c r="I116" t="n">
        <v>25</v>
      </c>
      <c r="J116" t="n">
        <v>0</v>
      </c>
      <c r="K116" t="b">
        <v>0</v>
      </c>
      <c r="L116" t="b">
        <v>0</v>
      </c>
      <c r="M116" t="inlineStr">
        <is>
          <t>AVOID</t>
        </is>
      </c>
    </row>
    <row r="117">
      <c r="A117" t="inlineStr">
        <is>
          <t>BTBT</t>
        </is>
      </c>
      <c r="B117" t="inlineStr">
        <is>
          <t>2026-07-30</t>
        </is>
      </c>
      <c r="C117" t="n">
        <v>1.4</v>
      </c>
      <c r="D117" t="n">
        <v>36.18</v>
      </c>
      <c r="E117" t="n">
        <v>0.83</v>
      </c>
      <c r="F117" t="n">
        <v>-7.29</v>
      </c>
      <c r="G117" t="n">
        <v>-66.83</v>
      </c>
      <c r="H117" t="n">
        <v>0</v>
      </c>
      <c r="I117" t="n">
        <v>0</v>
      </c>
      <c r="J117" t="n">
        <v>0</v>
      </c>
      <c r="K117" t="b">
        <v>0</v>
      </c>
      <c r="L117" t="b">
        <v>0</v>
      </c>
      <c r="M117" t="inlineStr">
        <is>
          <t>AVOID</t>
        </is>
      </c>
    </row>
    <row r="118">
      <c r="A118" t="inlineStr">
        <is>
          <t>BUSE</t>
        </is>
      </c>
      <c r="B118" t="inlineStr">
        <is>
          <t>2026-07-30</t>
        </is>
      </c>
      <c r="C118" t="n">
        <v>31.26</v>
      </c>
      <c r="D118" t="n">
        <v>75.19</v>
      </c>
      <c r="E118" t="n">
        <v>0.79</v>
      </c>
      <c r="F118" t="n">
        <v>20.37</v>
      </c>
      <c r="G118" t="n">
        <v>0</v>
      </c>
      <c r="H118" t="n">
        <v>60</v>
      </c>
      <c r="I118" t="n">
        <v>45</v>
      </c>
      <c r="J118" t="n">
        <v>100</v>
      </c>
      <c r="K118" t="b">
        <v>0</v>
      </c>
      <c r="L118" t="b">
        <v>0</v>
      </c>
      <c r="M118" t="inlineStr">
        <is>
          <t>HIGH CONVICTION</t>
        </is>
      </c>
    </row>
    <row r="119">
      <c r="A119" t="inlineStr">
        <is>
          <t>BYND</t>
        </is>
      </c>
      <c r="B119" t="inlineStr">
        <is>
          <t>2026-07-30</t>
        </is>
      </c>
      <c r="C119" t="n">
        <v>0.5600000000000001</v>
      </c>
      <c r="D119" t="n">
        <v>26.76</v>
      </c>
      <c r="E119" t="n">
        <v>0.37</v>
      </c>
      <c r="F119" t="n">
        <v>-43.39</v>
      </c>
      <c r="G119" t="n">
        <v>-84.61</v>
      </c>
      <c r="H119" t="n">
        <v>0</v>
      </c>
      <c r="I119" t="n">
        <v>0</v>
      </c>
      <c r="J119" t="n">
        <v>0</v>
      </c>
      <c r="K119" t="b">
        <v>0</v>
      </c>
      <c r="L119" t="b">
        <v>0</v>
      </c>
      <c r="M119" t="inlineStr">
        <is>
          <t>AVOID</t>
        </is>
      </c>
    </row>
    <row r="120">
      <c r="A120" t="inlineStr">
        <is>
          <t>CABA</t>
        </is>
      </c>
      <c r="B120" t="inlineStr">
        <is>
          <t>2026-07-30</t>
        </is>
      </c>
      <c r="C120" t="n">
        <v>2.69</v>
      </c>
      <c r="D120" t="n">
        <v>38.03</v>
      </c>
      <c r="E120" t="n">
        <v>0.23</v>
      </c>
      <c r="F120" t="n">
        <v>-9.869999999999999</v>
      </c>
      <c r="G120" t="n">
        <v>-35.06</v>
      </c>
      <c r="H120" t="n">
        <v>10</v>
      </c>
      <c r="I120" t="n">
        <v>0</v>
      </c>
      <c r="J120" t="n">
        <v>10</v>
      </c>
      <c r="K120" t="b">
        <v>0</v>
      </c>
      <c r="L120" t="b">
        <v>0</v>
      </c>
      <c r="M120" t="inlineStr">
        <is>
          <t>AVOID</t>
        </is>
      </c>
    </row>
    <row r="121">
      <c r="A121" t="inlineStr">
        <is>
          <t>CAKE</t>
        </is>
      </c>
      <c r="B121" t="inlineStr">
        <is>
          <t>2026-07-30</t>
        </is>
      </c>
      <c r="C121" t="n">
        <v>100.03</v>
      </c>
      <c r="D121" t="n">
        <v>79.08</v>
      </c>
      <c r="E121" t="n">
        <v>0.87</v>
      </c>
      <c r="F121" t="n">
        <v>59.9</v>
      </c>
      <c r="G121" t="n">
        <v>-1.1</v>
      </c>
      <c r="H121" t="n">
        <v>60</v>
      </c>
      <c r="I121" t="n">
        <v>45</v>
      </c>
      <c r="J121" t="n">
        <v>100</v>
      </c>
      <c r="K121" t="b">
        <v>1</v>
      </c>
      <c r="L121" t="b">
        <v>0</v>
      </c>
      <c r="M121" t="inlineStr">
        <is>
          <t>ELITE LEADER</t>
        </is>
      </c>
    </row>
    <row r="122">
      <c r="A122" t="inlineStr">
        <is>
          <t>CALM</t>
        </is>
      </c>
      <c r="B122" t="inlineStr">
        <is>
          <t>2026-07-30</t>
        </is>
      </c>
      <c r="C122" t="n">
        <v>87.75</v>
      </c>
      <c r="D122" t="n">
        <v>48.92</v>
      </c>
      <c r="E122" t="n">
        <v>0.54</v>
      </c>
      <c r="F122" t="n">
        <v>13.58</v>
      </c>
      <c r="G122" t="n">
        <v>-22.66</v>
      </c>
      <c r="H122" t="n">
        <v>45</v>
      </c>
      <c r="I122" t="n">
        <v>85</v>
      </c>
      <c r="J122" t="n">
        <v>55</v>
      </c>
      <c r="K122" t="b">
        <v>0</v>
      </c>
      <c r="L122" t="b">
        <v>0</v>
      </c>
      <c r="M122" t="inlineStr">
        <is>
          <t>AVOID</t>
        </is>
      </c>
    </row>
    <row r="123">
      <c r="A123" t="inlineStr">
        <is>
          <t>CAMT</t>
        </is>
      </c>
      <c r="B123" t="inlineStr">
        <is>
          <t>2026-07-30</t>
        </is>
      </c>
      <c r="C123" t="n">
        <v>137</v>
      </c>
      <c r="D123" t="n">
        <v>45.91</v>
      </c>
      <c r="E123" t="n">
        <v>0.74</v>
      </c>
      <c r="F123" t="n">
        <v>-28.62</v>
      </c>
      <c r="G123" t="n">
        <v>-33.96</v>
      </c>
      <c r="H123" t="n">
        <v>10</v>
      </c>
      <c r="I123" t="n">
        <v>25</v>
      </c>
      <c r="J123" t="n">
        <v>10</v>
      </c>
      <c r="K123" t="b">
        <v>0</v>
      </c>
      <c r="L123" t="b">
        <v>0</v>
      </c>
      <c r="M123" t="inlineStr">
        <is>
          <t>AVOID</t>
        </is>
      </c>
    </row>
    <row r="124">
      <c r="A124" t="inlineStr">
        <is>
          <t>CAR</t>
        </is>
      </c>
      <c r="B124" t="inlineStr">
        <is>
          <t>2026-07-30</t>
        </is>
      </c>
      <c r="C124" t="n">
        <v>153.71</v>
      </c>
      <c r="D124" t="n">
        <v>47.26</v>
      </c>
      <c r="E124" t="n">
        <v>0.74</v>
      </c>
      <c r="F124" t="n">
        <v>-14.92</v>
      </c>
      <c r="G124" t="n">
        <v>-78.47</v>
      </c>
      <c r="H124" t="n">
        <v>10</v>
      </c>
      <c r="I124" t="n">
        <v>25</v>
      </c>
      <c r="J124" t="n">
        <v>10</v>
      </c>
      <c r="K124" t="b">
        <v>0</v>
      </c>
      <c r="L124" t="b">
        <v>0</v>
      </c>
      <c r="M124" t="inlineStr">
        <is>
          <t>AVOID</t>
        </is>
      </c>
    </row>
    <row r="125">
      <c r="A125" t="inlineStr">
        <is>
          <t>CARG</t>
        </is>
      </c>
      <c r="B125" t="inlineStr">
        <is>
          <t>2026-07-30</t>
        </is>
      </c>
      <c r="C125" t="n">
        <v>35.64</v>
      </c>
      <c r="D125" t="n">
        <v>56.28</v>
      </c>
      <c r="E125" t="n">
        <v>0.39</v>
      </c>
      <c r="F125" t="n">
        <v>-2.25</v>
      </c>
      <c r="G125" t="n">
        <v>-8.69</v>
      </c>
      <c r="H125" t="n">
        <v>50</v>
      </c>
      <c r="I125" t="n">
        <v>85</v>
      </c>
      <c r="J125" t="n">
        <v>60</v>
      </c>
      <c r="K125" t="b">
        <v>0</v>
      </c>
      <c r="L125" t="b">
        <v>0</v>
      </c>
      <c r="M125" t="inlineStr">
        <is>
          <t>AVOID</t>
        </is>
      </c>
    </row>
    <row r="126">
      <c r="A126" t="inlineStr">
        <is>
          <t>CASY</t>
        </is>
      </c>
      <c r="B126" t="inlineStr">
        <is>
          <t>2026-07-30</t>
        </is>
      </c>
      <c r="C126" t="n">
        <v>864.72</v>
      </c>
      <c r="D126" t="n">
        <v>60.48</v>
      </c>
      <c r="E126" t="n">
        <v>0.36</v>
      </c>
      <c r="F126" t="n">
        <v>5.25</v>
      </c>
      <c r="G126" t="n">
        <v>-5.63</v>
      </c>
      <c r="H126" t="n">
        <v>60</v>
      </c>
      <c r="I126" t="n">
        <v>85</v>
      </c>
      <c r="J126" t="n">
        <v>70</v>
      </c>
      <c r="K126" t="b">
        <v>0</v>
      </c>
      <c r="L126" t="b">
        <v>0</v>
      </c>
      <c r="M126" t="inlineStr">
        <is>
          <t>AVOID</t>
        </is>
      </c>
    </row>
    <row r="127">
      <c r="A127" t="inlineStr">
        <is>
          <t>CATY</t>
        </is>
      </c>
      <c r="B127" t="inlineStr">
        <is>
          <t>2026-07-30</t>
        </is>
      </c>
      <c r="C127" t="n">
        <v>63.21</v>
      </c>
      <c r="D127" t="n">
        <v>59.89</v>
      </c>
      <c r="E127" t="n">
        <v>0.38</v>
      </c>
      <c r="F127" t="n">
        <v>13.56</v>
      </c>
      <c r="G127" t="n">
        <v>-0.8100000000000001</v>
      </c>
      <c r="H127" t="n">
        <v>60</v>
      </c>
      <c r="I127" t="n">
        <v>85</v>
      </c>
      <c r="J127" t="n">
        <v>100</v>
      </c>
      <c r="K127" t="b">
        <v>0</v>
      </c>
      <c r="L127" t="b">
        <v>0</v>
      </c>
      <c r="M127" t="inlineStr">
        <is>
          <t>HIGH CONVICTION</t>
        </is>
      </c>
    </row>
    <row r="128">
      <c r="A128" t="inlineStr">
        <is>
          <t>CBOE</t>
        </is>
      </c>
      <c r="B128" t="inlineStr">
        <is>
          <t>2026-07-30</t>
        </is>
      </c>
      <c r="C128" t="n">
        <v>301.01</v>
      </c>
      <c r="D128" t="n">
        <v>74.42</v>
      </c>
      <c r="E128" t="n">
        <v>0.9</v>
      </c>
      <c r="F128" t="n">
        <v>0.52</v>
      </c>
      <c r="G128" t="n">
        <v>-17.74</v>
      </c>
      <c r="H128" t="n">
        <v>50</v>
      </c>
      <c r="I128" t="n">
        <v>45</v>
      </c>
      <c r="J128" t="n">
        <v>50</v>
      </c>
      <c r="K128" t="b">
        <v>0</v>
      </c>
      <c r="L128" t="b">
        <v>0</v>
      </c>
      <c r="M128" t="inlineStr">
        <is>
          <t>AVOID</t>
        </is>
      </c>
    </row>
    <row r="129">
      <c r="A129" t="inlineStr">
        <is>
          <t>CBRL</t>
        </is>
      </c>
      <c r="B129" t="inlineStr">
        <is>
          <t>2026-07-30</t>
        </is>
      </c>
      <c r="C129" t="n">
        <v>56.54</v>
      </c>
      <c r="D129" t="n">
        <v>67.58</v>
      </c>
      <c r="E129" t="n">
        <v>0.42</v>
      </c>
      <c r="F129" t="n">
        <v>81.41</v>
      </c>
      <c r="G129" t="n">
        <v>-7.19</v>
      </c>
      <c r="H129" t="n">
        <v>60</v>
      </c>
      <c r="I129" t="n">
        <v>45</v>
      </c>
      <c r="J129" t="n">
        <v>100</v>
      </c>
      <c r="K129" t="b">
        <v>0</v>
      </c>
      <c r="L129" t="b">
        <v>0</v>
      </c>
      <c r="M129" t="inlineStr">
        <is>
          <t>HIGH CONVICTION</t>
        </is>
      </c>
    </row>
    <row r="130">
      <c r="A130" t="inlineStr">
        <is>
          <t>CBSH</t>
        </is>
      </c>
      <c r="B130" t="inlineStr">
        <is>
          <t>2026-07-30</t>
        </is>
      </c>
      <c r="C130" t="n">
        <v>59.9</v>
      </c>
      <c r="D130" t="n">
        <v>63.04</v>
      </c>
      <c r="E130" t="n">
        <v>0.38</v>
      </c>
      <c r="F130" t="n">
        <v>15.74</v>
      </c>
      <c r="G130" t="n">
        <v>-0.7</v>
      </c>
      <c r="H130" t="n">
        <v>60</v>
      </c>
      <c r="I130" t="n">
        <v>85</v>
      </c>
      <c r="J130" t="n">
        <v>100</v>
      </c>
      <c r="K130" t="b">
        <v>0</v>
      </c>
      <c r="L130" t="b">
        <v>0</v>
      </c>
      <c r="M130" t="inlineStr">
        <is>
          <t>HIGH CONVICTION</t>
        </is>
      </c>
    </row>
    <row r="131">
      <c r="A131" t="inlineStr">
        <is>
          <t>CCCC</t>
        </is>
      </c>
      <c r="B131" t="inlineStr">
        <is>
          <t>2026-07-30</t>
        </is>
      </c>
      <c r="C131" t="n">
        <v>3.59</v>
      </c>
      <c r="D131" t="n">
        <v>36.26</v>
      </c>
      <c r="E131" t="n">
        <v>0.28</v>
      </c>
      <c r="F131" t="n">
        <v>26.86</v>
      </c>
      <c r="G131" t="n">
        <v>-23.13</v>
      </c>
      <c r="H131" t="n">
        <v>25</v>
      </c>
      <c r="I131" t="n">
        <v>25</v>
      </c>
      <c r="J131" t="n">
        <v>45</v>
      </c>
      <c r="K131" t="b">
        <v>0</v>
      </c>
      <c r="L131" t="b">
        <v>0</v>
      </c>
      <c r="M131" t="inlineStr">
        <is>
          <t>AVOID</t>
        </is>
      </c>
    </row>
    <row r="132">
      <c r="A132" t="inlineStr">
        <is>
          <t>CCOI</t>
        </is>
      </c>
      <c r="B132" t="inlineStr">
        <is>
          <t>2026-07-30</t>
        </is>
      </c>
      <c r="C132" t="n">
        <v>12.72</v>
      </c>
      <c r="D132" t="n">
        <v>50.73</v>
      </c>
      <c r="E132" t="n">
        <v>0.44</v>
      </c>
      <c r="F132" t="n">
        <v>-43.79</v>
      </c>
      <c r="G132" t="n">
        <v>-72.08</v>
      </c>
      <c r="H132" t="n">
        <v>15</v>
      </c>
      <c r="I132" t="n">
        <v>40</v>
      </c>
      <c r="J132" t="n">
        <v>15</v>
      </c>
      <c r="K132" t="b">
        <v>0</v>
      </c>
      <c r="L132" t="b">
        <v>0</v>
      </c>
      <c r="M132" t="inlineStr">
        <is>
          <t>AVOID</t>
        </is>
      </c>
    </row>
    <row r="133">
      <c r="A133" t="inlineStr">
        <is>
          <t>CDNA</t>
        </is>
      </c>
      <c r="B133" t="inlineStr">
        <is>
          <t>2026-07-30</t>
        </is>
      </c>
      <c r="C133" t="n">
        <v>36.68</v>
      </c>
      <c r="D133" t="n">
        <v>72.23999999999999</v>
      </c>
      <c r="E133" t="n">
        <v>0.85</v>
      </c>
      <c r="F133" t="n">
        <v>76.26000000000001</v>
      </c>
      <c r="G133" t="n">
        <v>-9.07</v>
      </c>
      <c r="H133" t="n">
        <v>60</v>
      </c>
      <c r="I133" t="n">
        <v>45</v>
      </c>
      <c r="J133" t="n">
        <v>100</v>
      </c>
      <c r="K133" t="b">
        <v>0</v>
      </c>
      <c r="L133" t="b">
        <v>0</v>
      </c>
      <c r="M133" t="inlineStr">
        <is>
          <t>HIGH CONVICTION</t>
        </is>
      </c>
    </row>
    <row r="134">
      <c r="A134" t="inlineStr">
        <is>
          <t>CDNS</t>
        </is>
      </c>
      <c r="B134" t="inlineStr">
        <is>
          <t>2026-07-30</t>
        </is>
      </c>
      <c r="C134" t="n">
        <v>331.2</v>
      </c>
      <c r="D134" t="n">
        <v>27.81</v>
      </c>
      <c r="E134" t="n">
        <v>0.59</v>
      </c>
      <c r="F134" t="n">
        <v>0.49</v>
      </c>
      <c r="G134" t="n">
        <v>-20.46</v>
      </c>
      <c r="H134" t="n">
        <v>25</v>
      </c>
      <c r="I134" t="n">
        <v>25</v>
      </c>
      <c r="J134" t="n">
        <v>25</v>
      </c>
      <c r="K134" t="b">
        <v>0</v>
      </c>
      <c r="L134" t="b">
        <v>0</v>
      </c>
      <c r="M134" t="inlineStr">
        <is>
          <t>AVOID</t>
        </is>
      </c>
    </row>
    <row r="135">
      <c r="A135" t="inlineStr">
        <is>
          <t>CDW</t>
        </is>
      </c>
      <c r="B135" t="inlineStr">
        <is>
          <t>2026-07-30</t>
        </is>
      </c>
      <c r="C135" t="n">
        <v>145.11</v>
      </c>
      <c r="D135" t="n">
        <v>50.84</v>
      </c>
      <c r="E135" t="n">
        <v>0.38</v>
      </c>
      <c r="F135" t="n">
        <v>6.62</v>
      </c>
      <c r="G135" t="n">
        <v>-17.8</v>
      </c>
      <c r="H135" t="n">
        <v>50</v>
      </c>
      <c r="I135" t="n">
        <v>70</v>
      </c>
      <c r="J135" t="n">
        <v>50</v>
      </c>
      <c r="K135" t="b">
        <v>0</v>
      </c>
      <c r="L135" t="b">
        <v>0</v>
      </c>
      <c r="M135" t="inlineStr">
        <is>
          <t>AVOID</t>
        </is>
      </c>
    </row>
    <row r="136">
      <c r="A136" t="inlineStr">
        <is>
          <t>CDXS</t>
        </is>
      </c>
      <c r="B136" t="inlineStr">
        <is>
          <t>2026-07-30</t>
        </is>
      </c>
      <c r="C136" t="n">
        <v>1.48</v>
      </c>
      <c r="D136" t="n">
        <v>16.78</v>
      </c>
      <c r="E136" t="n">
        <v>0.3</v>
      </c>
      <c r="F136" t="n">
        <v>-47.52</v>
      </c>
      <c r="G136" t="n">
        <v>-52.26</v>
      </c>
      <c r="H136" t="n">
        <v>10</v>
      </c>
      <c r="I136" t="n">
        <v>0</v>
      </c>
      <c r="J136" t="n">
        <v>10</v>
      </c>
      <c r="K136" t="b">
        <v>0</v>
      </c>
      <c r="L136" t="b">
        <v>0</v>
      </c>
      <c r="M136" t="inlineStr">
        <is>
          <t>AVOID</t>
        </is>
      </c>
    </row>
    <row r="137">
      <c r="A137" t="inlineStr">
        <is>
          <t>CDZI</t>
        </is>
      </c>
      <c r="B137" t="inlineStr">
        <is>
          <t>2026-07-30</t>
        </is>
      </c>
      <c r="C137" t="n">
        <v>3.12</v>
      </c>
      <c r="D137" t="n">
        <v>15.59</v>
      </c>
      <c r="E137" t="n">
        <v>0.48</v>
      </c>
      <c r="F137" t="n">
        <v>-27.94</v>
      </c>
      <c r="G137" t="n">
        <v>-54.91</v>
      </c>
      <c r="H137" t="n">
        <v>0</v>
      </c>
      <c r="I137" t="n">
        <v>0</v>
      </c>
      <c r="J137" t="n">
        <v>0</v>
      </c>
      <c r="K137" t="b">
        <v>0</v>
      </c>
      <c r="L137" t="b">
        <v>0</v>
      </c>
      <c r="M137" t="inlineStr">
        <is>
          <t>AVOID</t>
        </is>
      </c>
    </row>
    <row r="138">
      <c r="A138" t="inlineStr">
        <is>
          <t>CELH</t>
        </is>
      </c>
      <c r="B138" t="inlineStr">
        <is>
          <t>2026-07-30</t>
        </is>
      </c>
      <c r="C138" t="n">
        <v>29.12</v>
      </c>
      <c r="D138" t="n">
        <v>41.9</v>
      </c>
      <c r="E138" t="n">
        <v>0.38</v>
      </c>
      <c r="F138" t="n">
        <v>-13.26</v>
      </c>
      <c r="G138" t="n">
        <v>-55.1</v>
      </c>
      <c r="H138" t="n">
        <v>10</v>
      </c>
      <c r="I138" t="n">
        <v>15</v>
      </c>
      <c r="J138" t="n">
        <v>10</v>
      </c>
      <c r="K138" t="b">
        <v>0</v>
      </c>
      <c r="L138" t="b">
        <v>0</v>
      </c>
      <c r="M138" t="inlineStr">
        <is>
          <t>AVOID</t>
        </is>
      </c>
    </row>
    <row r="139">
      <c r="A139" t="inlineStr">
        <is>
          <t>CENX</t>
        </is>
      </c>
      <c r="B139" t="inlineStr">
        <is>
          <t>2026-07-30</t>
        </is>
      </c>
      <c r="C139" t="n">
        <v>44.95</v>
      </c>
      <c r="D139" t="n">
        <v>50.83</v>
      </c>
      <c r="E139" t="n">
        <v>0.43</v>
      </c>
      <c r="F139" t="n">
        <v>-24.38</v>
      </c>
      <c r="G139" t="n">
        <v>-34.64</v>
      </c>
      <c r="H139" t="n">
        <v>25</v>
      </c>
      <c r="I139" t="n">
        <v>40</v>
      </c>
      <c r="J139" t="n">
        <v>25</v>
      </c>
      <c r="K139" t="b">
        <v>0</v>
      </c>
      <c r="L139" t="b">
        <v>0</v>
      </c>
      <c r="M139" t="inlineStr">
        <is>
          <t>AVOID</t>
        </is>
      </c>
    </row>
    <row r="140">
      <c r="A140" t="inlineStr">
        <is>
          <t>CERT</t>
        </is>
      </c>
      <c r="B140" t="inlineStr">
        <is>
          <t>2026-07-30</t>
        </is>
      </c>
      <c r="C140" t="n">
        <v>7.81</v>
      </c>
      <c r="D140" t="n">
        <v>69.12</v>
      </c>
      <c r="E140" t="n">
        <v>0.9399999999999999</v>
      </c>
      <c r="F140" t="n">
        <v>27.41</v>
      </c>
      <c r="G140" t="n">
        <v>-42.57</v>
      </c>
      <c r="H140" t="n">
        <v>50</v>
      </c>
      <c r="I140" t="n">
        <v>45</v>
      </c>
      <c r="J140" t="n">
        <v>70</v>
      </c>
      <c r="K140" t="b">
        <v>0</v>
      </c>
      <c r="L140" t="b">
        <v>0</v>
      </c>
      <c r="M140" t="inlineStr">
        <is>
          <t>AVOID</t>
        </is>
      </c>
    </row>
    <row r="141">
      <c r="A141" t="inlineStr">
        <is>
          <t>CEVA</t>
        </is>
      </c>
      <c r="B141" t="inlineStr">
        <is>
          <t>2026-07-30</t>
        </is>
      </c>
      <c r="C141" t="n">
        <v>32.97</v>
      </c>
      <c r="D141" t="n">
        <v>26.92</v>
      </c>
      <c r="E141" t="n">
        <v>0.5</v>
      </c>
      <c r="F141" t="n">
        <v>7.94</v>
      </c>
      <c r="G141" t="n">
        <v>-34.15</v>
      </c>
      <c r="H141" t="n">
        <v>25</v>
      </c>
      <c r="I141" t="n">
        <v>25</v>
      </c>
      <c r="J141" t="n">
        <v>25</v>
      </c>
      <c r="K141" t="b">
        <v>0</v>
      </c>
      <c r="L141" t="b">
        <v>0</v>
      </c>
      <c r="M141" t="inlineStr">
        <is>
          <t>AVOID</t>
        </is>
      </c>
    </row>
    <row r="142">
      <c r="A142" t="inlineStr">
        <is>
          <t>CFFN</t>
        </is>
      </c>
      <c r="B142" t="inlineStr">
        <is>
          <t>2026-07-30</t>
        </is>
      </c>
      <c r="C142" t="n">
        <v>8.93</v>
      </c>
      <c r="D142" t="n">
        <v>69.59</v>
      </c>
      <c r="E142" t="n">
        <v>0.9</v>
      </c>
      <c r="F142" t="n">
        <v>17.51</v>
      </c>
      <c r="G142" t="n">
        <v>0</v>
      </c>
      <c r="H142" t="n">
        <v>60</v>
      </c>
      <c r="I142" t="n">
        <v>45</v>
      </c>
      <c r="J142" t="n">
        <v>100</v>
      </c>
      <c r="K142" t="b">
        <v>0</v>
      </c>
      <c r="L142" t="b">
        <v>0</v>
      </c>
      <c r="M142" t="inlineStr">
        <is>
          <t>HIGH CONVICTION</t>
        </is>
      </c>
    </row>
    <row r="143">
      <c r="A143" t="inlineStr">
        <is>
          <t>CG</t>
        </is>
      </c>
      <c r="B143" t="inlineStr">
        <is>
          <t>2026-07-30</t>
        </is>
      </c>
      <c r="C143" t="n">
        <v>45.75</v>
      </c>
      <c r="D143" t="n">
        <v>54.81</v>
      </c>
      <c r="E143" t="n">
        <v>0.68</v>
      </c>
      <c r="F143" t="n">
        <v>-7.96</v>
      </c>
      <c r="G143" t="n">
        <v>-32.67</v>
      </c>
      <c r="H143" t="n">
        <v>35</v>
      </c>
      <c r="I143" t="n">
        <v>60</v>
      </c>
      <c r="J143" t="n">
        <v>35</v>
      </c>
      <c r="K143" t="b">
        <v>0</v>
      </c>
      <c r="L143" t="b">
        <v>0</v>
      </c>
      <c r="M143" t="inlineStr">
        <is>
          <t>AVOID</t>
        </is>
      </c>
    </row>
    <row r="144">
      <c r="A144" t="inlineStr">
        <is>
          <t>CGBD</t>
        </is>
      </c>
      <c r="B144" t="inlineStr">
        <is>
          <t>2026-07-30</t>
        </is>
      </c>
      <c r="C144" t="n">
        <v>10.06</v>
      </c>
      <c r="D144" t="n">
        <v>37.4</v>
      </c>
      <c r="E144" t="n">
        <v>0.54</v>
      </c>
      <c r="F144" t="n">
        <v>-12.31</v>
      </c>
      <c r="G144" t="n">
        <v>-17.89</v>
      </c>
      <c r="H144" t="n">
        <v>0</v>
      </c>
      <c r="I144" t="n">
        <v>0</v>
      </c>
      <c r="J144" t="n">
        <v>0</v>
      </c>
      <c r="K144" t="b">
        <v>0</v>
      </c>
      <c r="L144" t="b">
        <v>0</v>
      </c>
      <c r="M144" t="inlineStr">
        <is>
          <t>AVOID</t>
        </is>
      </c>
    </row>
    <row r="145">
      <c r="A145" t="inlineStr">
        <is>
          <t>CGC</t>
        </is>
      </c>
      <c r="B145" t="inlineStr">
        <is>
          <t>2026-07-30</t>
        </is>
      </c>
      <c r="C145" t="n">
        <v>0.9</v>
      </c>
      <c r="D145" t="n">
        <v>31.51</v>
      </c>
      <c r="E145" t="n">
        <v>0.61</v>
      </c>
      <c r="F145" t="n">
        <v>-18.85</v>
      </c>
      <c r="G145" t="n">
        <v>-53.08</v>
      </c>
      <c r="H145" t="n">
        <v>0</v>
      </c>
      <c r="I145" t="n">
        <v>0</v>
      </c>
      <c r="J145" t="n">
        <v>0</v>
      </c>
      <c r="K145" t="b">
        <v>0</v>
      </c>
      <c r="L145" t="b">
        <v>0</v>
      </c>
      <c r="M145" t="inlineStr">
        <is>
          <t>AVOID</t>
        </is>
      </c>
    </row>
    <row r="146">
      <c r="A146" t="inlineStr">
        <is>
          <t>CGEM</t>
        </is>
      </c>
      <c r="B146" t="inlineStr">
        <is>
          <t>2026-07-30</t>
        </is>
      </c>
      <c r="C146" t="n">
        <v>17.64</v>
      </c>
      <c r="D146" t="n">
        <v>45.84</v>
      </c>
      <c r="E146" t="n">
        <v>0.47</v>
      </c>
      <c r="F146" t="n">
        <v>35.17</v>
      </c>
      <c r="G146" t="n">
        <v>-4.55</v>
      </c>
      <c r="H146" t="n">
        <v>45</v>
      </c>
      <c r="I146" t="n">
        <v>85</v>
      </c>
      <c r="J146" t="n">
        <v>95</v>
      </c>
      <c r="K146" t="b">
        <v>0</v>
      </c>
      <c r="L146" t="b">
        <v>0</v>
      </c>
      <c r="M146" t="inlineStr">
        <is>
          <t>HIGH CONVICTION</t>
        </is>
      </c>
    </row>
    <row r="147">
      <c r="A147" t="inlineStr">
        <is>
          <t>CGNX</t>
        </is>
      </c>
      <c r="B147" t="inlineStr">
        <is>
          <t>2026-07-30</t>
        </is>
      </c>
      <c r="C147" t="n">
        <v>62.06</v>
      </c>
      <c r="D147" t="n">
        <v>37.47</v>
      </c>
      <c r="E147" t="n">
        <v>0.5600000000000001</v>
      </c>
      <c r="F147" t="n">
        <v>11.95</v>
      </c>
      <c r="G147" t="n">
        <v>-14.31</v>
      </c>
      <c r="H147" t="n">
        <v>25</v>
      </c>
      <c r="I147" t="n">
        <v>40</v>
      </c>
      <c r="J147" t="n">
        <v>35</v>
      </c>
      <c r="K147" t="b">
        <v>0</v>
      </c>
      <c r="L147" t="b">
        <v>0</v>
      </c>
      <c r="M147" t="inlineStr">
        <is>
          <t>AVOID</t>
        </is>
      </c>
    </row>
    <row r="148">
      <c r="A148" t="inlineStr">
        <is>
          <t>CHDN</t>
        </is>
      </c>
      <c r="B148" t="inlineStr">
        <is>
          <t>2026-07-30</t>
        </is>
      </c>
      <c r="C148" t="n">
        <v>81.42</v>
      </c>
      <c r="D148" t="n">
        <v>41.4</v>
      </c>
      <c r="E148" t="n">
        <v>2.63</v>
      </c>
      <c r="F148" t="n">
        <v>-19.38</v>
      </c>
      <c r="G148" t="n">
        <v>-30.76</v>
      </c>
      <c r="H148" t="n">
        <v>0</v>
      </c>
      <c r="I148" t="n">
        <v>15</v>
      </c>
      <c r="J148" t="n">
        <v>30</v>
      </c>
      <c r="K148" t="b">
        <v>0</v>
      </c>
      <c r="L148" t="b">
        <v>0</v>
      </c>
      <c r="M148" t="inlineStr">
        <is>
          <t>AVOID</t>
        </is>
      </c>
    </row>
    <row r="149">
      <c r="A149" t="inlineStr">
        <is>
          <t>CHEF</t>
        </is>
      </c>
      <c r="B149" t="inlineStr">
        <is>
          <t>2026-07-30</t>
        </is>
      </c>
      <c r="C149" t="n">
        <v>110.38</v>
      </c>
      <c r="D149" t="n">
        <v>71.7</v>
      </c>
      <c r="E149" t="n">
        <v>0.91</v>
      </c>
      <c r="F149" t="n">
        <v>42.24</v>
      </c>
      <c r="G149" t="n">
        <v>0</v>
      </c>
      <c r="H149" t="n">
        <v>60</v>
      </c>
      <c r="I149" t="n">
        <v>45</v>
      </c>
      <c r="J149" t="n">
        <v>100</v>
      </c>
      <c r="K149" t="b">
        <v>0</v>
      </c>
      <c r="L149" t="b">
        <v>0</v>
      </c>
      <c r="M149" t="inlineStr">
        <is>
          <t>HIGH CONVICTION</t>
        </is>
      </c>
    </row>
    <row r="150">
      <c r="A150" t="inlineStr">
        <is>
          <t>CHKP</t>
        </is>
      </c>
      <c r="B150" t="inlineStr">
        <is>
          <t>2026-07-30</t>
        </is>
      </c>
      <c r="C150" t="n">
        <v>127.37</v>
      </c>
      <c r="D150" t="n">
        <v>45.81</v>
      </c>
      <c r="E150" t="n">
        <v>1.31</v>
      </c>
      <c r="F150" t="n">
        <v>13.25</v>
      </c>
      <c r="G150" t="n">
        <v>-38.44</v>
      </c>
      <c r="H150" t="n">
        <v>10</v>
      </c>
      <c r="I150" t="n">
        <v>40</v>
      </c>
      <c r="J150" t="n">
        <v>30</v>
      </c>
      <c r="K150" t="b">
        <v>0</v>
      </c>
      <c r="L150" t="b">
        <v>0</v>
      </c>
      <c r="M150" t="inlineStr">
        <is>
          <t>AVOID</t>
        </is>
      </c>
    </row>
    <row r="151">
      <c r="A151" t="inlineStr">
        <is>
          <t>CHRS</t>
        </is>
      </c>
      <c r="B151" t="inlineStr">
        <is>
          <t>2026-07-30</t>
        </is>
      </c>
      <c r="C151" t="n">
        <v>1.46</v>
      </c>
      <c r="D151" t="n">
        <v>40.23</v>
      </c>
      <c r="E151" t="n">
        <v>0.42</v>
      </c>
      <c r="F151" t="n">
        <v>-18.03</v>
      </c>
      <c r="G151" t="n">
        <v>-42.03</v>
      </c>
      <c r="H151" t="n">
        <v>0</v>
      </c>
      <c r="I151" t="n">
        <v>15</v>
      </c>
      <c r="J151" t="n">
        <v>0</v>
      </c>
      <c r="K151" t="b">
        <v>0</v>
      </c>
      <c r="L151" t="b">
        <v>0</v>
      </c>
      <c r="M151" t="inlineStr">
        <is>
          <t>AVOID</t>
        </is>
      </c>
    </row>
    <row r="152">
      <c r="A152" t="inlineStr">
        <is>
          <t>CHRW</t>
        </is>
      </c>
      <c r="B152" t="inlineStr">
        <is>
          <t>2026-07-30</t>
        </is>
      </c>
      <c r="C152" t="n">
        <v>145.13</v>
      </c>
      <c r="D152" t="n">
        <v>25.48</v>
      </c>
      <c r="E152" t="n">
        <v>2.39</v>
      </c>
      <c r="F152" t="n">
        <v>-19.9</v>
      </c>
      <c r="G152" t="n">
        <v>-30.7</v>
      </c>
      <c r="H152" t="n">
        <v>20</v>
      </c>
      <c r="I152" t="n">
        <v>15</v>
      </c>
      <c r="J152" t="n">
        <v>50</v>
      </c>
      <c r="K152" t="b">
        <v>0</v>
      </c>
      <c r="L152" t="b">
        <v>0</v>
      </c>
      <c r="M152" t="inlineStr">
        <is>
          <t>AVOID</t>
        </is>
      </c>
    </row>
    <row r="153">
      <c r="A153" t="inlineStr">
        <is>
          <t>CHTR</t>
        </is>
      </c>
      <c r="B153" t="inlineStr">
        <is>
          <t>2026-07-30</t>
        </is>
      </c>
      <c r="C153" t="n">
        <v>140.77</v>
      </c>
      <c r="D153" t="n">
        <v>60.3</v>
      </c>
      <c r="E153" t="n">
        <v>0.73</v>
      </c>
      <c r="F153" t="n">
        <v>-14.77</v>
      </c>
      <c r="G153" t="n">
        <v>-50.21</v>
      </c>
      <c r="H153" t="n">
        <v>25</v>
      </c>
      <c r="I153" t="n">
        <v>45</v>
      </c>
      <c r="J153" t="n">
        <v>25</v>
      </c>
      <c r="K153" t="b">
        <v>0</v>
      </c>
      <c r="L153" t="b">
        <v>0</v>
      </c>
      <c r="M153" t="inlineStr">
        <is>
          <t>AVOID</t>
        </is>
      </c>
    </row>
    <row r="154">
      <c r="A154" t="inlineStr">
        <is>
          <t>CINF</t>
        </is>
      </c>
      <c r="B154" t="inlineStr">
        <is>
          <t>2026-07-30</t>
        </is>
      </c>
      <c r="C154" t="n">
        <v>175.3</v>
      </c>
      <c r="D154" t="n">
        <v>44.73</v>
      </c>
      <c r="E154" t="n">
        <v>0.47</v>
      </c>
      <c r="F154" t="n">
        <v>7.74</v>
      </c>
      <c r="G154" t="n">
        <v>-8.710000000000001</v>
      </c>
      <c r="H154" t="n">
        <v>45</v>
      </c>
      <c r="I154" t="n">
        <v>45</v>
      </c>
      <c r="J154" t="n">
        <v>55</v>
      </c>
      <c r="K154" t="b">
        <v>0</v>
      </c>
      <c r="L154" t="b">
        <v>0</v>
      </c>
      <c r="M154" t="inlineStr">
        <is>
          <t>AVOID</t>
        </is>
      </c>
    </row>
    <row r="155">
      <c r="A155" t="inlineStr">
        <is>
          <t>CLBK</t>
        </is>
      </c>
      <c r="B155" t="inlineStr">
        <is>
          <t>2026-07-30</t>
        </is>
      </c>
      <c r="C155" t="n">
        <v>10.94</v>
      </c>
      <c r="D155" t="n">
        <v>79.79000000000001</v>
      </c>
      <c r="E155" t="n">
        <v>0.36</v>
      </c>
      <c r="F155" t="n">
        <v>25.22</v>
      </c>
      <c r="G155" t="n">
        <v>-1.72</v>
      </c>
      <c r="H155" t="n">
        <v>60</v>
      </c>
      <c r="I155" t="n">
        <v>45</v>
      </c>
      <c r="J155" t="n">
        <v>100</v>
      </c>
      <c r="K155" t="b">
        <v>0</v>
      </c>
      <c r="L155" t="b">
        <v>0</v>
      </c>
      <c r="M155" t="inlineStr">
        <is>
          <t>HIGH CONVICTION</t>
        </is>
      </c>
    </row>
    <row r="156">
      <c r="A156" t="inlineStr">
        <is>
          <t>CLDX</t>
        </is>
      </c>
      <c r="B156" t="inlineStr">
        <is>
          <t>2026-07-30</t>
        </is>
      </c>
      <c r="C156" t="n">
        <v>38.21</v>
      </c>
      <c r="D156" t="n">
        <v>45.02</v>
      </c>
      <c r="E156" t="n">
        <v>0.44</v>
      </c>
      <c r="F156" t="n">
        <v>16.2</v>
      </c>
      <c r="G156" t="n">
        <v>-4.32</v>
      </c>
      <c r="H156" t="n">
        <v>55</v>
      </c>
      <c r="I156" t="n">
        <v>85</v>
      </c>
      <c r="J156" t="n">
        <v>85</v>
      </c>
      <c r="K156" t="b">
        <v>0</v>
      </c>
      <c r="L156" t="b">
        <v>0</v>
      </c>
      <c r="M156" t="inlineStr">
        <is>
          <t>WATCH</t>
        </is>
      </c>
    </row>
    <row r="157">
      <c r="A157" t="inlineStr">
        <is>
          <t>CLNE</t>
        </is>
      </c>
      <c r="B157" t="inlineStr">
        <is>
          <t>2026-07-30</t>
        </is>
      </c>
      <c r="C157" t="n">
        <v>1.93</v>
      </c>
      <c r="D157" t="n">
        <v>31.94</v>
      </c>
      <c r="E157" t="n">
        <v>0.32</v>
      </c>
      <c r="F157" t="n">
        <v>-16.09</v>
      </c>
      <c r="G157" t="n">
        <v>-36.93</v>
      </c>
      <c r="H157" t="n">
        <v>10</v>
      </c>
      <c r="I157" t="n">
        <v>0</v>
      </c>
      <c r="J157" t="n">
        <v>10</v>
      </c>
      <c r="K157" t="b">
        <v>0</v>
      </c>
      <c r="L157" t="b">
        <v>0</v>
      </c>
      <c r="M157" t="inlineStr">
        <is>
          <t>AVOID</t>
        </is>
      </c>
    </row>
    <row r="158">
      <c r="A158" t="inlineStr">
        <is>
          <t>CLOV</t>
        </is>
      </c>
      <c r="B158" t="inlineStr">
        <is>
          <t>2026-07-30</t>
        </is>
      </c>
      <c r="C158" t="n">
        <v>4.3</v>
      </c>
      <c r="D158" t="n">
        <v>46.68</v>
      </c>
      <c r="E158" t="n">
        <v>0.38</v>
      </c>
      <c r="F158" t="n">
        <v>56.18</v>
      </c>
      <c r="G158" t="n">
        <v>-20.61</v>
      </c>
      <c r="H158" t="n">
        <v>35</v>
      </c>
      <c r="I158" t="n">
        <v>50</v>
      </c>
      <c r="J158" t="n">
        <v>75</v>
      </c>
      <c r="K158" t="b">
        <v>0</v>
      </c>
      <c r="L158" t="b">
        <v>0</v>
      </c>
      <c r="M158" t="inlineStr">
        <is>
          <t>AVOID</t>
        </is>
      </c>
    </row>
    <row r="159">
      <c r="A159" t="inlineStr">
        <is>
          <t>CLPT</t>
        </is>
      </c>
      <c r="B159" t="inlineStr">
        <is>
          <t>2026-07-30</t>
        </is>
      </c>
      <c r="C159" t="n">
        <v>14.46</v>
      </c>
      <c r="D159" t="n">
        <v>22.56</v>
      </c>
      <c r="E159" t="n">
        <v>0.62</v>
      </c>
      <c r="F159" t="n">
        <v>29.34</v>
      </c>
      <c r="G159" t="n">
        <v>-51.15</v>
      </c>
      <c r="H159" t="n">
        <v>35</v>
      </c>
      <c r="I159" t="n">
        <v>25</v>
      </c>
      <c r="J159" t="n">
        <v>55</v>
      </c>
      <c r="K159" t="b">
        <v>0</v>
      </c>
      <c r="L159" t="b">
        <v>0</v>
      </c>
      <c r="M159" t="inlineStr">
        <is>
          <t>AVOID</t>
        </is>
      </c>
    </row>
    <row r="160">
      <c r="A160" t="inlineStr">
        <is>
          <t>CLSK</t>
        </is>
      </c>
      <c r="B160" t="inlineStr">
        <is>
          <t>2026-07-30</t>
        </is>
      </c>
      <c r="C160" t="n">
        <v>14.59</v>
      </c>
      <c r="D160" t="n">
        <v>56.97</v>
      </c>
      <c r="E160" t="n">
        <v>1</v>
      </c>
      <c r="F160" t="n">
        <v>16.44</v>
      </c>
      <c r="G160" t="n">
        <v>-37.11</v>
      </c>
      <c r="H160" t="n">
        <v>40</v>
      </c>
      <c r="I160" t="n">
        <v>50</v>
      </c>
      <c r="J160" t="n">
        <v>50</v>
      </c>
      <c r="K160" t="b">
        <v>0</v>
      </c>
      <c r="L160" t="b">
        <v>0</v>
      </c>
      <c r="M160" t="inlineStr">
        <is>
          <t>AVOID</t>
        </is>
      </c>
    </row>
    <row r="161">
      <c r="A161" t="inlineStr">
        <is>
          <t>CMCO</t>
        </is>
      </c>
      <c r="B161" t="inlineStr">
        <is>
          <t>2026-07-30</t>
        </is>
      </c>
      <c r="C161" t="n">
        <v>20.78</v>
      </c>
      <c r="D161" t="n">
        <v>79.55</v>
      </c>
      <c r="E161" t="n">
        <v>2.97</v>
      </c>
      <c r="F161" t="n">
        <v>35.11</v>
      </c>
      <c r="G161" t="n">
        <v>-10</v>
      </c>
      <c r="H161" t="n">
        <v>50</v>
      </c>
      <c r="I161" t="n">
        <v>60</v>
      </c>
      <c r="J161" t="n">
        <v>100</v>
      </c>
      <c r="K161" t="b">
        <v>0</v>
      </c>
      <c r="L161" t="b">
        <v>0</v>
      </c>
      <c r="M161" t="inlineStr">
        <is>
          <t>HIGH CONVICTION</t>
        </is>
      </c>
    </row>
    <row r="162">
      <c r="A162" t="inlineStr">
        <is>
          <t>CMCSA</t>
        </is>
      </c>
      <c r="B162" t="inlineStr">
        <is>
          <t>2026-07-30</t>
        </is>
      </c>
      <c r="C162" t="n">
        <v>23.75</v>
      </c>
      <c r="D162" t="n">
        <v>51.11</v>
      </c>
      <c r="E162" t="n">
        <v>0.47</v>
      </c>
      <c r="F162" t="n">
        <v>-10.99</v>
      </c>
      <c r="G162" t="n">
        <v>-25.04</v>
      </c>
      <c r="H162" t="n">
        <v>25</v>
      </c>
      <c r="I162" t="n">
        <v>60</v>
      </c>
      <c r="J162" t="n">
        <v>25</v>
      </c>
      <c r="K162" t="b">
        <v>0</v>
      </c>
      <c r="L162" t="b">
        <v>0</v>
      </c>
      <c r="M162" t="inlineStr">
        <is>
          <t>AVOID</t>
        </is>
      </c>
    </row>
    <row r="163">
      <c r="A163" t="inlineStr">
        <is>
          <t>CME</t>
        </is>
      </c>
      <c r="B163" t="inlineStr">
        <is>
          <t>2026-07-30</t>
        </is>
      </c>
      <c r="C163" t="n">
        <v>266.3</v>
      </c>
      <c r="D163" t="n">
        <v>77.73999999999999</v>
      </c>
      <c r="E163" t="n">
        <v>0.54</v>
      </c>
      <c r="F163" t="n">
        <v>-7</v>
      </c>
      <c r="G163" t="n">
        <v>-16.04</v>
      </c>
      <c r="H163" t="n">
        <v>25</v>
      </c>
      <c r="I163" t="n">
        <v>20</v>
      </c>
      <c r="J163" t="n">
        <v>25</v>
      </c>
      <c r="K163" t="b">
        <v>0</v>
      </c>
      <c r="L163" t="b">
        <v>0</v>
      </c>
      <c r="M163" t="inlineStr">
        <is>
          <t>AVOID</t>
        </is>
      </c>
    </row>
    <row r="164">
      <c r="A164" t="inlineStr">
        <is>
          <t>CMPS</t>
        </is>
      </c>
      <c r="B164" t="inlineStr">
        <is>
          <t>2026-07-30</t>
        </is>
      </c>
      <c r="C164" t="n">
        <v>11.32</v>
      </c>
      <c r="D164" t="n">
        <v>25.45</v>
      </c>
      <c r="E164" t="n">
        <v>0.26</v>
      </c>
      <c r="F164" t="n">
        <v>25</v>
      </c>
      <c r="G164" t="n">
        <v>-24.85</v>
      </c>
      <c r="H164" t="n">
        <v>25</v>
      </c>
      <c r="I164" t="n">
        <v>25</v>
      </c>
      <c r="J164" t="n">
        <v>45</v>
      </c>
      <c r="K164" t="b">
        <v>0</v>
      </c>
      <c r="L164" t="b">
        <v>0</v>
      </c>
      <c r="M164" t="inlineStr">
        <is>
          <t>AVOID</t>
        </is>
      </c>
    </row>
    <row r="165">
      <c r="A165" t="inlineStr">
        <is>
          <t>CMTL</t>
        </is>
      </c>
      <c r="B165" t="inlineStr">
        <is>
          <t>2026-07-30</t>
        </is>
      </c>
      <c r="C165" t="n">
        <v>1.71</v>
      </c>
      <c r="D165" t="n">
        <v>37.5</v>
      </c>
      <c r="E165" t="n">
        <v>0.33</v>
      </c>
      <c r="F165" t="n">
        <v>-51.42</v>
      </c>
      <c r="G165" t="n">
        <v>-71.40000000000001</v>
      </c>
      <c r="H165" t="n">
        <v>0</v>
      </c>
      <c r="I165" t="n">
        <v>0</v>
      </c>
      <c r="J165" t="n">
        <v>0</v>
      </c>
      <c r="K165" t="b">
        <v>0</v>
      </c>
      <c r="L165" t="b">
        <v>0</v>
      </c>
      <c r="M165" t="inlineStr">
        <is>
          <t>AVOID</t>
        </is>
      </c>
    </row>
    <row r="166">
      <c r="A166" t="inlineStr">
        <is>
          <t>CNMD</t>
        </is>
      </c>
      <c r="B166" t="inlineStr">
        <is>
          <t>2026-07-30</t>
        </is>
      </c>
      <c r="C166" t="n">
        <v>47.35</v>
      </c>
      <c r="D166" t="n">
        <v>71.64</v>
      </c>
      <c r="E166" t="n">
        <v>0.72</v>
      </c>
      <c r="F166" t="n">
        <v>29.16</v>
      </c>
      <c r="G166" t="n">
        <v>-14.84</v>
      </c>
      <c r="H166" t="n">
        <v>50</v>
      </c>
      <c r="I166" t="n">
        <v>45</v>
      </c>
      <c r="J166" t="n">
        <v>70</v>
      </c>
      <c r="K166" t="b">
        <v>0</v>
      </c>
      <c r="L166" t="b">
        <v>0</v>
      </c>
      <c r="M166" t="inlineStr">
        <is>
          <t>AVOID</t>
        </is>
      </c>
    </row>
    <row r="167">
      <c r="A167" t="inlineStr">
        <is>
          <t>CNOB</t>
        </is>
      </c>
      <c r="B167" t="inlineStr">
        <is>
          <t>2026-07-30</t>
        </is>
      </c>
      <c r="C167" t="n">
        <v>33</v>
      </c>
      <c r="D167" t="n">
        <v>54.47</v>
      </c>
      <c r="E167" t="n">
        <v>0.51</v>
      </c>
      <c r="F167" t="n">
        <v>13.69</v>
      </c>
      <c r="G167" t="n">
        <v>-3.25</v>
      </c>
      <c r="H167" t="n">
        <v>60</v>
      </c>
      <c r="I167" t="n">
        <v>85</v>
      </c>
      <c r="J167" t="n">
        <v>90</v>
      </c>
      <c r="K167" t="b">
        <v>0</v>
      </c>
      <c r="L167" t="b">
        <v>0</v>
      </c>
      <c r="M167" t="inlineStr">
        <is>
          <t>WATCH</t>
        </is>
      </c>
    </row>
    <row r="168">
      <c r="A168" t="inlineStr">
        <is>
          <t>CNXC</t>
        </is>
      </c>
      <c r="B168" t="inlineStr">
        <is>
          <t>2026-07-30</t>
        </is>
      </c>
      <c r="C168" t="n">
        <v>24.85</v>
      </c>
      <c r="D168" t="n">
        <v>59.18</v>
      </c>
      <c r="E168" t="n">
        <v>0.25</v>
      </c>
      <c r="F168" t="n">
        <v>6.09</v>
      </c>
      <c r="G168" t="n">
        <v>-54.37</v>
      </c>
      <c r="H168" t="n">
        <v>25</v>
      </c>
      <c r="I168" t="n">
        <v>45</v>
      </c>
      <c r="J168" t="n">
        <v>25</v>
      </c>
      <c r="K168" t="b">
        <v>0</v>
      </c>
      <c r="L168" t="b">
        <v>0</v>
      </c>
      <c r="M168" t="inlineStr">
        <is>
          <t>AVOID</t>
        </is>
      </c>
    </row>
    <row r="169">
      <c r="A169" t="inlineStr">
        <is>
          <t>CODX</t>
        </is>
      </c>
      <c r="B169" t="inlineStr">
        <is>
          <t>2026-07-30</t>
        </is>
      </c>
      <c r="C169" t="n">
        <v>1.56</v>
      </c>
      <c r="D169" t="n">
        <v>11.11</v>
      </c>
      <c r="E169" t="n">
        <v>1.76</v>
      </c>
      <c r="F169" t="n">
        <v>0.65</v>
      </c>
      <c r="G169" t="n">
        <v>-95.87</v>
      </c>
      <c r="H169" t="n">
        <v>0</v>
      </c>
      <c r="I169" t="n">
        <v>15</v>
      </c>
      <c r="J169" t="n">
        <v>20</v>
      </c>
      <c r="K169" t="b">
        <v>0</v>
      </c>
      <c r="L169" t="b">
        <v>0</v>
      </c>
      <c r="M169" t="inlineStr">
        <is>
          <t>AVOID</t>
        </is>
      </c>
    </row>
    <row r="170">
      <c r="A170" t="inlineStr">
        <is>
          <t>COGT</t>
        </is>
      </c>
      <c r="B170" t="inlineStr">
        <is>
          <t>2026-07-30</t>
        </is>
      </c>
      <c r="C170" t="n">
        <v>41.22</v>
      </c>
      <c r="D170" t="n">
        <v>59.17</v>
      </c>
      <c r="E170" t="n">
        <v>0.42</v>
      </c>
      <c r="F170" t="n">
        <v>15.17</v>
      </c>
      <c r="G170" t="n">
        <v>-2.11</v>
      </c>
      <c r="H170" t="n">
        <v>60</v>
      </c>
      <c r="I170" t="n">
        <v>70</v>
      </c>
      <c r="J170" t="n">
        <v>90</v>
      </c>
      <c r="K170" t="b">
        <v>0</v>
      </c>
      <c r="L170" t="b">
        <v>0</v>
      </c>
      <c r="M170" t="inlineStr">
        <is>
          <t>WATCH</t>
        </is>
      </c>
    </row>
    <row r="171">
      <c r="A171" t="inlineStr">
        <is>
          <t>COHR</t>
        </is>
      </c>
      <c r="B171" t="inlineStr">
        <is>
          <t>2026-07-30</t>
        </is>
      </c>
      <c r="C171" t="n">
        <v>247.06</v>
      </c>
      <c r="D171" t="n">
        <v>32.14</v>
      </c>
      <c r="E171" t="n">
        <v>0.85</v>
      </c>
      <c r="F171" t="n">
        <v>-22.72</v>
      </c>
      <c r="G171" t="n">
        <v>-42.13</v>
      </c>
      <c r="H171" t="n">
        <v>10</v>
      </c>
      <c r="I171" t="n">
        <v>0</v>
      </c>
      <c r="J171" t="n">
        <v>10</v>
      </c>
      <c r="K171" t="b">
        <v>0</v>
      </c>
      <c r="L171" t="b">
        <v>0</v>
      </c>
      <c r="M171" t="inlineStr">
        <is>
          <t>AVOID</t>
        </is>
      </c>
    </row>
    <row r="172">
      <c r="A172" t="inlineStr">
        <is>
          <t>COHU</t>
        </is>
      </c>
      <c r="B172" t="inlineStr">
        <is>
          <t>2026-07-30</t>
        </is>
      </c>
      <c r="C172" t="n">
        <v>45.34</v>
      </c>
      <c r="D172" t="n">
        <v>36.05</v>
      </c>
      <c r="E172" t="n">
        <v>1.04</v>
      </c>
      <c r="F172" t="n">
        <v>-4.24</v>
      </c>
      <c r="G172" t="n">
        <v>-38.66</v>
      </c>
      <c r="H172" t="n">
        <v>25</v>
      </c>
      <c r="I172" t="n">
        <v>40</v>
      </c>
      <c r="J172" t="n">
        <v>25</v>
      </c>
      <c r="K172" t="b">
        <v>0</v>
      </c>
      <c r="L172" t="b">
        <v>0</v>
      </c>
      <c r="M172" t="inlineStr">
        <is>
          <t>AVOID</t>
        </is>
      </c>
    </row>
    <row r="173">
      <c r="A173" t="inlineStr">
        <is>
          <t>COKE</t>
        </is>
      </c>
      <c r="B173" t="inlineStr">
        <is>
          <t>2026-07-30</t>
        </is>
      </c>
      <c r="C173" t="n">
        <v>188.31</v>
      </c>
      <c r="D173" t="n">
        <v>60.91</v>
      </c>
      <c r="E173" t="n">
        <v>0.33</v>
      </c>
      <c r="F173" t="n">
        <v>-8.039999999999999</v>
      </c>
      <c r="G173" t="n">
        <v>-12.95</v>
      </c>
      <c r="H173" t="n">
        <v>60</v>
      </c>
      <c r="I173" t="n">
        <v>85</v>
      </c>
      <c r="J173" t="n">
        <v>60</v>
      </c>
      <c r="K173" t="b">
        <v>0</v>
      </c>
      <c r="L173" t="b">
        <v>0</v>
      </c>
      <c r="M173" t="inlineStr">
        <is>
          <t>AVOID</t>
        </is>
      </c>
    </row>
    <row r="174">
      <c r="A174" t="inlineStr">
        <is>
          <t>COLB</t>
        </is>
      </c>
      <c r="B174" t="inlineStr">
        <is>
          <t>2026-07-30</t>
        </is>
      </c>
      <c r="C174" t="n">
        <v>31.31</v>
      </c>
      <c r="D174" t="n">
        <v>43.68</v>
      </c>
      <c r="E174" t="n">
        <v>0.85</v>
      </c>
      <c r="F174" t="n">
        <v>7.1</v>
      </c>
      <c r="G174" t="n">
        <v>-6.86</v>
      </c>
      <c r="H174" t="n">
        <v>45</v>
      </c>
      <c r="I174" t="n">
        <v>60</v>
      </c>
      <c r="J174" t="n">
        <v>55</v>
      </c>
      <c r="K174" t="b">
        <v>0</v>
      </c>
      <c r="L174" t="b">
        <v>0</v>
      </c>
      <c r="M174" t="inlineStr">
        <is>
          <t>AVOID</t>
        </is>
      </c>
    </row>
    <row r="175">
      <c r="A175" t="inlineStr">
        <is>
          <t>COLL</t>
        </is>
      </c>
      <c r="B175" t="inlineStr">
        <is>
          <t>2026-07-30</t>
        </is>
      </c>
      <c r="C175" t="n">
        <v>35.88</v>
      </c>
      <c r="D175" t="n">
        <v>54.23</v>
      </c>
      <c r="E175" t="n">
        <v>0.31</v>
      </c>
      <c r="F175" t="n">
        <v>6.37</v>
      </c>
      <c r="G175" t="n">
        <v>-28.01</v>
      </c>
      <c r="H175" t="n">
        <v>35</v>
      </c>
      <c r="I175" t="n">
        <v>60</v>
      </c>
      <c r="J175" t="n">
        <v>35</v>
      </c>
      <c r="K175" t="b">
        <v>0</v>
      </c>
      <c r="L175" t="b">
        <v>0</v>
      </c>
      <c r="M175" t="inlineStr">
        <is>
          <t>AVOID</t>
        </is>
      </c>
    </row>
    <row r="176">
      <c r="A176" t="inlineStr">
        <is>
          <t>COLM</t>
        </is>
      </c>
      <c r="B176" t="inlineStr">
        <is>
          <t>2026-07-30</t>
        </is>
      </c>
      <c r="C176" t="n">
        <v>63.24</v>
      </c>
      <c r="D176" t="n">
        <v>50.96</v>
      </c>
      <c r="E176" t="n">
        <v>0.8</v>
      </c>
      <c r="F176" t="n">
        <v>4.33</v>
      </c>
      <c r="G176" t="n">
        <v>-6.71</v>
      </c>
      <c r="H176" t="n">
        <v>40</v>
      </c>
      <c r="I176" t="n">
        <v>65</v>
      </c>
      <c r="J176" t="n">
        <v>50</v>
      </c>
      <c r="K176" t="b">
        <v>0</v>
      </c>
      <c r="L176" t="b">
        <v>0</v>
      </c>
      <c r="M176" t="inlineStr">
        <is>
          <t>AVOID</t>
        </is>
      </c>
    </row>
    <row r="177">
      <c r="A177" t="inlineStr">
        <is>
          <t>CORT</t>
        </is>
      </c>
      <c r="B177" t="inlineStr">
        <is>
          <t>2026-07-30</t>
        </is>
      </c>
      <c r="C177" t="n">
        <v>117.5</v>
      </c>
      <c r="D177" t="n">
        <v>70.5</v>
      </c>
      <c r="E177" t="n">
        <v>2.6</v>
      </c>
      <c r="F177" t="n">
        <v>152.57</v>
      </c>
      <c r="G177" t="n">
        <v>0</v>
      </c>
      <c r="H177" t="n">
        <v>60</v>
      </c>
      <c r="I177" t="n">
        <v>60</v>
      </c>
      <c r="J177" t="n">
        <v>100</v>
      </c>
      <c r="K177" t="b">
        <v>1</v>
      </c>
      <c r="L177" t="b">
        <v>0</v>
      </c>
      <c r="M177" t="inlineStr">
        <is>
          <t>ELITE LEADER</t>
        </is>
      </c>
    </row>
    <row r="178">
      <c r="A178" t="inlineStr">
        <is>
          <t>COST</t>
        </is>
      </c>
      <c r="B178" t="inlineStr">
        <is>
          <t>2026-07-30</t>
        </is>
      </c>
      <c r="C178" t="n">
        <v>953.63</v>
      </c>
      <c r="D178" t="n">
        <v>64.04000000000001</v>
      </c>
      <c r="E178" t="n">
        <v>0.57</v>
      </c>
      <c r="F178" t="n">
        <v>-5.72</v>
      </c>
      <c r="G178" t="n">
        <v>-12.72</v>
      </c>
      <c r="H178" t="n">
        <v>25</v>
      </c>
      <c r="I178" t="n">
        <v>40</v>
      </c>
      <c r="J178" t="n">
        <v>25</v>
      </c>
      <c r="K178" t="b">
        <v>0</v>
      </c>
      <c r="L178" t="b">
        <v>0</v>
      </c>
      <c r="M178" t="inlineStr">
        <is>
          <t>AVOID</t>
        </is>
      </c>
    </row>
    <row r="179">
      <c r="A179" t="inlineStr">
        <is>
          <t>CPRT</t>
        </is>
      </c>
      <c r="B179" t="inlineStr">
        <is>
          <t>2026-07-30</t>
        </is>
      </c>
      <c r="C179" t="n">
        <v>29.41</v>
      </c>
      <c r="D179" t="n">
        <v>62.44</v>
      </c>
      <c r="E179" t="n">
        <v>0.54</v>
      </c>
      <c r="F179" t="n">
        <v>-11.19</v>
      </c>
      <c r="G179" t="n">
        <v>-41.15</v>
      </c>
      <c r="H179" t="n">
        <v>15</v>
      </c>
      <c r="I179" t="n">
        <v>25</v>
      </c>
      <c r="J179" t="n">
        <v>15</v>
      </c>
      <c r="K179" t="b">
        <v>0</v>
      </c>
      <c r="L179" t="b">
        <v>0</v>
      </c>
      <c r="M179" t="inlineStr">
        <is>
          <t>AVOID</t>
        </is>
      </c>
    </row>
    <row r="180">
      <c r="A180" t="inlineStr">
        <is>
          <t>CRDF</t>
        </is>
      </c>
      <c r="B180" t="inlineStr">
        <is>
          <t>2026-07-30</t>
        </is>
      </c>
      <c r="C180" t="n">
        <v>0.85</v>
      </c>
      <c r="D180" t="n">
        <v>14.72</v>
      </c>
      <c r="E180" t="n">
        <v>0.6</v>
      </c>
      <c r="F180" t="n">
        <v>-50.86</v>
      </c>
      <c r="G180" t="n">
        <v>-73.52</v>
      </c>
      <c r="H180" t="n">
        <v>0</v>
      </c>
      <c r="I180" t="n">
        <v>0</v>
      </c>
      <c r="J180" t="n">
        <v>0</v>
      </c>
      <c r="K180" t="b">
        <v>0</v>
      </c>
      <c r="L180" t="b">
        <v>0</v>
      </c>
      <c r="M180" t="inlineStr">
        <is>
          <t>AVOID</t>
        </is>
      </c>
    </row>
    <row r="181">
      <c r="A181" t="inlineStr">
        <is>
          <t>CRMT</t>
        </is>
      </c>
      <c r="B181" t="inlineStr">
        <is>
          <t>2026-07-30</t>
        </is>
      </c>
      <c r="C181" t="n">
        <v>3.19</v>
      </c>
      <c r="D181" t="n">
        <v>49.41</v>
      </c>
      <c r="E181" t="n">
        <v>0.15</v>
      </c>
      <c r="F181" t="n">
        <v>-73.87</v>
      </c>
      <c r="G181" t="n">
        <v>-93.28</v>
      </c>
      <c r="H181" t="n">
        <v>0</v>
      </c>
      <c r="I181" t="n">
        <v>25</v>
      </c>
      <c r="J181" t="n">
        <v>0</v>
      </c>
      <c r="K181" t="b">
        <v>0</v>
      </c>
      <c r="L181" t="b">
        <v>0</v>
      </c>
      <c r="M181" t="inlineStr">
        <is>
          <t>AVOID</t>
        </is>
      </c>
    </row>
    <row r="182">
      <c r="A182" t="inlineStr">
        <is>
          <t>CRNC</t>
        </is>
      </c>
      <c r="B182" t="inlineStr">
        <is>
          <t>2026-07-30</t>
        </is>
      </c>
      <c r="C182" t="n">
        <v>8.25</v>
      </c>
      <c r="D182" t="n">
        <v>26.58</v>
      </c>
      <c r="E182" t="n">
        <v>0.42</v>
      </c>
      <c r="F182" t="n">
        <v>-9.34</v>
      </c>
      <c r="G182" t="n">
        <v>-38.98</v>
      </c>
      <c r="H182" t="n">
        <v>10</v>
      </c>
      <c r="I182" t="n">
        <v>0</v>
      </c>
      <c r="J182" t="n">
        <v>10</v>
      </c>
      <c r="K182" t="b">
        <v>0</v>
      </c>
      <c r="L182" t="b">
        <v>0</v>
      </c>
      <c r="M182" t="inlineStr">
        <is>
          <t>AVOID</t>
        </is>
      </c>
    </row>
    <row r="183">
      <c r="A183" t="inlineStr">
        <is>
          <t>CRNX</t>
        </is>
      </c>
      <c r="B183" t="inlineStr">
        <is>
          <t>2026-07-30</t>
        </is>
      </c>
      <c r="C183" t="n">
        <v>83.81</v>
      </c>
      <c r="D183" t="n">
        <v>61.86</v>
      </c>
      <c r="E183" t="n">
        <v>0.13</v>
      </c>
      <c r="F183" t="n">
        <v>116.12</v>
      </c>
      <c r="G183" t="n">
        <v>-0.12</v>
      </c>
      <c r="H183" t="n">
        <v>60</v>
      </c>
      <c r="I183" t="n">
        <v>70</v>
      </c>
      <c r="J183" t="n">
        <v>100</v>
      </c>
      <c r="K183" t="b">
        <v>1</v>
      </c>
      <c r="L183" t="b">
        <v>0</v>
      </c>
      <c r="M183" t="inlineStr">
        <is>
          <t>ELITE LEADER</t>
        </is>
      </c>
    </row>
    <row r="184">
      <c r="A184" t="inlineStr">
        <is>
          <t>CRON</t>
        </is>
      </c>
      <c r="B184" t="inlineStr">
        <is>
          <t>2026-07-30</t>
        </is>
      </c>
      <c r="C184" t="n">
        <v>2.9</v>
      </c>
      <c r="D184" t="n">
        <v>74.19</v>
      </c>
      <c r="E184" t="n">
        <v>0.8</v>
      </c>
      <c r="F184" t="n">
        <v>8.609999999999999</v>
      </c>
      <c r="G184" t="n">
        <v>-11.31</v>
      </c>
      <c r="H184" t="n">
        <v>60</v>
      </c>
      <c r="I184" t="n">
        <v>45</v>
      </c>
      <c r="J184" t="n">
        <v>60</v>
      </c>
      <c r="K184" t="b">
        <v>0</v>
      </c>
      <c r="L184" t="b">
        <v>0</v>
      </c>
      <c r="M184" t="inlineStr">
        <is>
          <t>AVOID</t>
        </is>
      </c>
    </row>
    <row r="185">
      <c r="A185" t="inlineStr">
        <is>
          <t>CROX</t>
        </is>
      </c>
      <c r="B185" t="inlineStr">
        <is>
          <t>2026-07-30</t>
        </is>
      </c>
      <c r="C185" t="n">
        <v>122.85</v>
      </c>
      <c r="D185" t="n">
        <v>36.2</v>
      </c>
      <c r="E185" t="n">
        <v>2.13</v>
      </c>
      <c r="F185" t="n">
        <v>20.46</v>
      </c>
      <c r="G185" t="n">
        <v>-11.56</v>
      </c>
      <c r="H185" t="n">
        <v>35</v>
      </c>
      <c r="I185" t="n">
        <v>40</v>
      </c>
      <c r="J185" t="n">
        <v>85</v>
      </c>
      <c r="K185" t="b">
        <v>0</v>
      </c>
      <c r="L185" t="b">
        <v>0</v>
      </c>
      <c r="M185" t="inlineStr">
        <is>
          <t>WATCH</t>
        </is>
      </c>
    </row>
    <row r="186">
      <c r="A186" t="inlineStr">
        <is>
          <t>CRSP</t>
        </is>
      </c>
      <c r="B186" t="inlineStr">
        <is>
          <t>2026-07-30</t>
        </is>
      </c>
      <c r="C186" t="n">
        <v>47.92</v>
      </c>
      <c r="D186" t="n">
        <v>28.97</v>
      </c>
      <c r="E186" t="n">
        <v>0.45</v>
      </c>
      <c r="F186" t="n">
        <v>-8.44</v>
      </c>
      <c r="G186" t="n">
        <v>-37.59</v>
      </c>
      <c r="H186" t="n">
        <v>0</v>
      </c>
      <c r="I186" t="n">
        <v>0</v>
      </c>
      <c r="J186" t="n">
        <v>0</v>
      </c>
      <c r="K186" t="b">
        <v>0</v>
      </c>
      <c r="L186" t="b">
        <v>0</v>
      </c>
      <c r="M186" t="inlineStr">
        <is>
          <t>AVOID</t>
        </is>
      </c>
    </row>
    <row r="187">
      <c r="A187" t="inlineStr">
        <is>
          <t>CRSR</t>
        </is>
      </c>
      <c r="B187" t="inlineStr">
        <is>
          <t>2026-07-30</t>
        </is>
      </c>
      <c r="C187" t="n">
        <v>10.6</v>
      </c>
      <c r="D187" t="n">
        <v>59.53</v>
      </c>
      <c r="E187" t="n">
        <v>0.37</v>
      </c>
      <c r="F187" t="n">
        <v>56.11</v>
      </c>
      <c r="G187" t="n">
        <v>-12.69</v>
      </c>
      <c r="H187" t="n">
        <v>60</v>
      </c>
      <c r="I187" t="n">
        <v>70</v>
      </c>
      <c r="J187" t="n">
        <v>100</v>
      </c>
      <c r="K187" t="b">
        <v>0</v>
      </c>
      <c r="L187" t="b">
        <v>0</v>
      </c>
      <c r="M187" t="inlineStr">
        <is>
          <t>HIGH CONVICTION</t>
        </is>
      </c>
    </row>
    <row r="188">
      <c r="A188" t="inlineStr">
        <is>
          <t>CRTO</t>
        </is>
      </c>
      <c r="B188" t="inlineStr">
        <is>
          <t>2026-07-30</t>
        </is>
      </c>
      <c r="C188" t="n">
        <v>21.85</v>
      </c>
      <c r="D188" t="n">
        <v>42.97</v>
      </c>
      <c r="E188" t="n">
        <v>0.35</v>
      </c>
      <c r="F188" t="n">
        <v>15.39</v>
      </c>
      <c r="G188" t="n">
        <v>-11.98</v>
      </c>
      <c r="H188" t="n">
        <v>45</v>
      </c>
      <c r="I188" t="n">
        <v>60</v>
      </c>
      <c r="J188" t="n">
        <v>55</v>
      </c>
      <c r="K188" t="b">
        <v>0</v>
      </c>
      <c r="L188" t="b">
        <v>0</v>
      </c>
      <c r="M188" t="inlineStr">
        <is>
          <t>AVOID</t>
        </is>
      </c>
    </row>
    <row r="189">
      <c r="A189" t="inlineStr">
        <is>
          <t>CRUS</t>
        </is>
      </c>
      <c r="B189" t="inlineStr">
        <is>
          <t>2026-07-30</t>
        </is>
      </c>
      <c r="C189" t="n">
        <v>132.74</v>
      </c>
      <c r="D189" t="n">
        <v>23.88</v>
      </c>
      <c r="E189" t="n">
        <v>0.45</v>
      </c>
      <c r="F189" t="n">
        <v>-18.6</v>
      </c>
      <c r="G189" t="n">
        <v>-25.8</v>
      </c>
      <c r="H189" t="n">
        <v>10</v>
      </c>
      <c r="I189" t="n">
        <v>0</v>
      </c>
      <c r="J189" t="n">
        <v>10</v>
      </c>
      <c r="K189" t="b">
        <v>0</v>
      </c>
      <c r="L189" t="b">
        <v>0</v>
      </c>
      <c r="M189" t="inlineStr">
        <is>
          <t>AVOID</t>
        </is>
      </c>
    </row>
    <row r="190">
      <c r="A190" t="inlineStr">
        <is>
          <t>CRWD</t>
        </is>
      </c>
      <c r="B190" t="inlineStr">
        <is>
          <t>2026-07-30</t>
        </is>
      </c>
      <c r="C190" t="n">
        <v>183.1</v>
      </c>
      <c r="D190" t="n">
        <v>46.71</v>
      </c>
      <c r="E190" t="n">
        <v>0.63</v>
      </c>
      <c r="F190" t="n">
        <v>64.3</v>
      </c>
      <c r="G190" t="n">
        <v>-13.11</v>
      </c>
      <c r="H190" t="n">
        <v>45</v>
      </c>
      <c r="I190" t="n">
        <v>70</v>
      </c>
      <c r="J190" t="n">
        <v>85</v>
      </c>
      <c r="K190" t="b">
        <v>0</v>
      </c>
      <c r="L190" t="b">
        <v>0</v>
      </c>
      <c r="M190" t="inlineStr">
        <is>
          <t>WATCH</t>
        </is>
      </c>
    </row>
    <row r="191">
      <c r="A191" t="inlineStr">
        <is>
          <t>CSCO</t>
        </is>
      </c>
      <c r="B191" t="inlineStr">
        <is>
          <t>2026-07-30</t>
        </is>
      </c>
      <c r="C191" t="n">
        <v>113.64</v>
      </c>
      <c r="D191" t="n">
        <v>34.22</v>
      </c>
      <c r="E191" t="n">
        <v>0.5600000000000001</v>
      </c>
      <c r="F191" t="n">
        <v>24.66</v>
      </c>
      <c r="G191" t="n">
        <v>-12.26</v>
      </c>
      <c r="H191" t="n">
        <v>25</v>
      </c>
      <c r="I191" t="n">
        <v>40</v>
      </c>
      <c r="J191" t="n">
        <v>45</v>
      </c>
      <c r="K191" t="b">
        <v>0</v>
      </c>
      <c r="L191" t="b">
        <v>0</v>
      </c>
      <c r="M191" t="inlineStr">
        <is>
          <t>AVOID</t>
        </is>
      </c>
    </row>
    <row r="192">
      <c r="A192" t="inlineStr">
        <is>
          <t>CSGP</t>
        </is>
      </c>
      <c r="B192" t="inlineStr">
        <is>
          <t>2026-07-30</t>
        </is>
      </c>
      <c r="C192" t="n">
        <v>29</v>
      </c>
      <c r="D192" t="n">
        <v>52.58</v>
      </c>
      <c r="E192" t="n">
        <v>1.04</v>
      </c>
      <c r="F192" t="n">
        <v>-16.19</v>
      </c>
      <c r="G192" t="n">
        <v>-70.05</v>
      </c>
      <c r="H192" t="n">
        <v>15</v>
      </c>
      <c r="I192" t="n">
        <v>55</v>
      </c>
      <c r="J192" t="n">
        <v>15</v>
      </c>
      <c r="K192" t="b">
        <v>0</v>
      </c>
      <c r="L192" t="b">
        <v>0</v>
      </c>
      <c r="M192" t="inlineStr">
        <is>
          <t>AVOID</t>
        </is>
      </c>
    </row>
    <row r="193">
      <c r="A193" t="inlineStr">
        <is>
          <t>CSIQ</t>
        </is>
      </c>
      <c r="B193" t="inlineStr">
        <is>
          <t>2026-07-30</t>
        </is>
      </c>
      <c r="C193" t="n">
        <v>14.58</v>
      </c>
      <c r="D193" t="n">
        <v>46.72</v>
      </c>
      <c r="E193" t="n">
        <v>0.52</v>
      </c>
      <c r="F193" t="n">
        <v>-4.64</v>
      </c>
      <c r="G193" t="n">
        <v>-56.58</v>
      </c>
      <c r="H193" t="n">
        <v>0</v>
      </c>
      <c r="I193" t="n">
        <v>40</v>
      </c>
      <c r="J193" t="n">
        <v>0</v>
      </c>
      <c r="K193" t="b">
        <v>0</v>
      </c>
      <c r="L193" t="b">
        <v>0</v>
      </c>
      <c r="M193" t="inlineStr">
        <is>
          <t>AVOID</t>
        </is>
      </c>
    </row>
    <row r="194">
      <c r="A194" t="inlineStr">
        <is>
          <t>CSTL</t>
        </is>
      </c>
      <c r="B194" t="inlineStr">
        <is>
          <t>2026-07-30</t>
        </is>
      </c>
      <c r="C194" t="n">
        <v>26.53</v>
      </c>
      <c r="D194" t="n">
        <v>67.26000000000001</v>
      </c>
      <c r="E194" t="n">
        <v>1.5</v>
      </c>
      <c r="F194" t="n">
        <v>8.33</v>
      </c>
      <c r="G194" t="n">
        <v>-38.36</v>
      </c>
      <c r="H194" t="n">
        <v>35</v>
      </c>
      <c r="I194" t="n">
        <v>35</v>
      </c>
      <c r="J194" t="n">
        <v>55</v>
      </c>
      <c r="K194" t="b">
        <v>0</v>
      </c>
      <c r="L194" t="b">
        <v>0</v>
      </c>
      <c r="M194" t="inlineStr">
        <is>
          <t>AVOID</t>
        </is>
      </c>
    </row>
    <row r="195">
      <c r="A195" t="inlineStr">
        <is>
          <t>CSWC</t>
        </is>
      </c>
      <c r="B195" t="inlineStr">
        <is>
          <t>2026-07-30</t>
        </is>
      </c>
      <c r="C195" t="n">
        <v>23.57</v>
      </c>
      <c r="D195" t="n">
        <v>48.58</v>
      </c>
      <c r="E195" t="n">
        <v>0.51</v>
      </c>
      <c r="F195" t="n">
        <v>0.87</v>
      </c>
      <c r="G195" t="n">
        <v>-3.02</v>
      </c>
      <c r="H195" t="n">
        <v>45</v>
      </c>
      <c r="I195" t="n">
        <v>85</v>
      </c>
      <c r="J195" t="n">
        <v>65</v>
      </c>
      <c r="K195" t="b">
        <v>0</v>
      </c>
      <c r="L195" t="b">
        <v>0</v>
      </c>
      <c r="M195" t="inlineStr">
        <is>
          <t>AVOID</t>
        </is>
      </c>
    </row>
    <row r="196">
      <c r="A196" t="inlineStr">
        <is>
          <t>CSX</t>
        </is>
      </c>
      <c r="B196" t="inlineStr">
        <is>
          <t>2026-07-30</t>
        </is>
      </c>
      <c r="C196" t="n">
        <v>50.11</v>
      </c>
      <c r="D196" t="n">
        <v>53.53</v>
      </c>
      <c r="E196" t="n">
        <v>0.51</v>
      </c>
      <c r="F196" t="n">
        <v>10.64</v>
      </c>
      <c r="G196" t="n">
        <v>-5.86</v>
      </c>
      <c r="H196" t="n">
        <v>50</v>
      </c>
      <c r="I196" t="n">
        <v>85</v>
      </c>
      <c r="J196" t="n">
        <v>70</v>
      </c>
      <c r="K196" t="b">
        <v>0</v>
      </c>
      <c r="L196" t="b">
        <v>0</v>
      </c>
      <c r="M196" t="inlineStr">
        <is>
          <t>AVOID</t>
        </is>
      </c>
    </row>
    <row r="197">
      <c r="A197" t="inlineStr">
        <is>
          <t>CTAS</t>
        </is>
      </c>
      <c r="B197" t="inlineStr">
        <is>
          <t>2026-07-30</t>
        </is>
      </c>
      <c r="C197" t="n">
        <v>207.09</v>
      </c>
      <c r="D197" t="n">
        <v>73.66</v>
      </c>
      <c r="E197" t="n">
        <v>0.66</v>
      </c>
      <c r="F197" t="n">
        <v>18.86</v>
      </c>
      <c r="G197" t="n">
        <v>-7.61</v>
      </c>
      <c r="H197" t="n">
        <v>50</v>
      </c>
      <c r="I197" t="n">
        <v>45</v>
      </c>
      <c r="J197" t="n">
        <v>70</v>
      </c>
      <c r="K197" t="b">
        <v>0</v>
      </c>
      <c r="L197" t="b">
        <v>0</v>
      </c>
      <c r="M197" t="inlineStr">
        <is>
          <t>AVOID</t>
        </is>
      </c>
    </row>
    <row r="198">
      <c r="A198" t="inlineStr">
        <is>
          <t>CTRE</t>
        </is>
      </c>
      <c r="B198" t="inlineStr">
        <is>
          <t>2026-07-30</t>
        </is>
      </c>
      <c r="C198" t="n">
        <v>41.58</v>
      </c>
      <c r="D198" t="n">
        <v>58.06</v>
      </c>
      <c r="E198" t="n">
        <v>0.38</v>
      </c>
      <c r="F198" t="n">
        <v>6.42</v>
      </c>
      <c r="G198" t="n">
        <v>-4.19</v>
      </c>
      <c r="H198" t="n">
        <v>50</v>
      </c>
      <c r="I198" t="n">
        <v>85</v>
      </c>
      <c r="J198" t="n">
        <v>70</v>
      </c>
      <c r="K198" t="b">
        <v>0</v>
      </c>
      <c r="L198" t="b">
        <v>0</v>
      </c>
      <c r="M198" t="inlineStr">
        <is>
          <t>AVOID</t>
        </is>
      </c>
    </row>
    <row r="199">
      <c r="A199" t="inlineStr">
        <is>
          <t>CTSH</t>
        </is>
      </c>
      <c r="B199" t="inlineStr">
        <is>
          <t>2026-07-30</t>
        </is>
      </c>
      <c r="C199" t="n">
        <v>54.23</v>
      </c>
      <c r="D199" t="n">
        <v>77.87</v>
      </c>
      <c r="E199" t="n">
        <v>0.74</v>
      </c>
      <c r="F199" t="n">
        <v>3.24</v>
      </c>
      <c r="G199" t="n">
        <v>-36.69</v>
      </c>
      <c r="H199" t="n">
        <v>25</v>
      </c>
      <c r="I199" t="n">
        <v>20</v>
      </c>
      <c r="J199" t="n">
        <v>25</v>
      </c>
      <c r="K199" t="b">
        <v>0</v>
      </c>
      <c r="L199" t="b">
        <v>0</v>
      </c>
      <c r="M199" t="inlineStr">
        <is>
          <t>AVOID</t>
        </is>
      </c>
    </row>
    <row r="200">
      <c r="A200" t="inlineStr">
        <is>
          <t>CURI</t>
        </is>
      </c>
      <c r="B200" t="inlineStr">
        <is>
          <t>2026-07-30</t>
        </is>
      </c>
      <c r="C200" t="n">
        <v>2.38</v>
      </c>
      <c r="D200" t="n">
        <v>32.08</v>
      </c>
      <c r="E200" t="n">
        <v>0.57</v>
      </c>
      <c r="F200" t="n">
        <v>-22.24</v>
      </c>
      <c r="G200" t="n">
        <v>-52.83</v>
      </c>
      <c r="H200" t="n">
        <v>0</v>
      </c>
      <c r="I200" t="n">
        <v>0</v>
      </c>
      <c r="J200" t="n">
        <v>0</v>
      </c>
      <c r="K200" t="b">
        <v>0</v>
      </c>
      <c r="L200" t="b">
        <v>0</v>
      </c>
      <c r="M200" t="inlineStr">
        <is>
          <t>AVOID</t>
        </is>
      </c>
    </row>
    <row r="201">
      <c r="A201" t="inlineStr">
        <is>
          <t>CVBF</t>
        </is>
      </c>
      <c r="B201" t="inlineStr">
        <is>
          <t>2026-07-30</t>
        </is>
      </c>
      <c r="C201" t="n">
        <v>22.81</v>
      </c>
      <c r="D201" t="n">
        <v>56.39</v>
      </c>
      <c r="E201" t="n">
        <v>0.41</v>
      </c>
      <c r="F201" t="n">
        <v>13</v>
      </c>
      <c r="G201" t="n">
        <v>-2.1</v>
      </c>
      <c r="H201" t="n">
        <v>60</v>
      </c>
      <c r="I201" t="n">
        <v>85</v>
      </c>
      <c r="J201" t="n">
        <v>90</v>
      </c>
      <c r="K201" t="b">
        <v>0</v>
      </c>
      <c r="L201" t="b">
        <v>0</v>
      </c>
      <c r="M201" t="inlineStr">
        <is>
          <t>WATCH</t>
        </is>
      </c>
    </row>
    <row r="202">
      <c r="A202" t="inlineStr">
        <is>
          <t>CVLT</t>
        </is>
      </c>
      <c r="B202" t="inlineStr">
        <is>
          <t>2026-07-30</t>
        </is>
      </c>
      <c r="C202" t="n">
        <v>115.75</v>
      </c>
      <c r="D202" t="n">
        <v>21.52</v>
      </c>
      <c r="E202" t="n">
        <v>0.46</v>
      </c>
      <c r="F202" t="n">
        <v>17.07</v>
      </c>
      <c r="G202" t="n">
        <v>-40.76</v>
      </c>
      <c r="H202" t="n">
        <v>35</v>
      </c>
      <c r="I202" t="n">
        <v>25</v>
      </c>
      <c r="J202" t="n">
        <v>45</v>
      </c>
      <c r="K202" t="b">
        <v>0</v>
      </c>
      <c r="L202" t="b">
        <v>0</v>
      </c>
      <c r="M202" t="inlineStr">
        <is>
          <t>AVOID</t>
        </is>
      </c>
    </row>
    <row r="203">
      <c r="A203" t="inlineStr">
        <is>
          <t>CWST</t>
        </is>
      </c>
      <c r="B203" t="inlineStr">
        <is>
          <t>2026-07-30</t>
        </is>
      </c>
      <c r="C203" t="n">
        <v>88.23999999999999</v>
      </c>
      <c r="D203" t="n">
        <v>30.43</v>
      </c>
      <c r="E203" t="n">
        <v>0.5600000000000001</v>
      </c>
      <c r="F203" t="n">
        <v>11.34</v>
      </c>
      <c r="G203" t="n">
        <v>-18.84</v>
      </c>
      <c r="H203" t="n">
        <v>10</v>
      </c>
      <c r="I203" t="n">
        <v>0</v>
      </c>
      <c r="J203" t="n">
        <v>20</v>
      </c>
      <c r="K203" t="b">
        <v>0</v>
      </c>
      <c r="L203" t="b">
        <v>0</v>
      </c>
      <c r="M203" t="inlineStr">
        <is>
          <t>AVOID</t>
        </is>
      </c>
    </row>
    <row r="204">
      <c r="A204" t="inlineStr">
        <is>
          <t>CYRX</t>
        </is>
      </c>
      <c r="B204" t="inlineStr">
        <is>
          <t>2026-07-30</t>
        </is>
      </c>
      <c r="C204" t="n">
        <v>15.15</v>
      </c>
      <c r="D204" t="n">
        <v>39.04</v>
      </c>
      <c r="E204" t="n">
        <v>0.28</v>
      </c>
      <c r="F204" t="n">
        <v>47.61</v>
      </c>
      <c r="G204" t="n">
        <v>-8.6</v>
      </c>
      <c r="H204" t="n">
        <v>35</v>
      </c>
      <c r="I204" t="n">
        <v>25</v>
      </c>
      <c r="J204" t="n">
        <v>75</v>
      </c>
      <c r="K204" t="b">
        <v>0</v>
      </c>
      <c r="L204" t="b">
        <v>0</v>
      </c>
      <c r="M204" t="inlineStr">
        <is>
          <t>AVOID</t>
        </is>
      </c>
    </row>
    <row r="205">
      <c r="A205" t="inlineStr">
        <is>
          <t>CYTK</t>
        </is>
      </c>
      <c r="B205" t="inlineStr">
        <is>
          <t>2026-07-30</t>
        </is>
      </c>
      <c r="C205" t="n">
        <v>80.65000000000001</v>
      </c>
      <c r="D205" t="n">
        <v>37.04</v>
      </c>
      <c r="E205" t="n">
        <v>0.5600000000000001</v>
      </c>
      <c r="F205" t="n">
        <v>26.07</v>
      </c>
      <c r="G205" t="n">
        <v>-7.58</v>
      </c>
      <c r="H205" t="n">
        <v>45</v>
      </c>
      <c r="I205" t="n">
        <v>60</v>
      </c>
      <c r="J205" t="n">
        <v>75</v>
      </c>
      <c r="K205" t="b">
        <v>0</v>
      </c>
      <c r="L205" t="b">
        <v>0</v>
      </c>
      <c r="M205" t="inlineStr">
        <is>
          <t>AVOID</t>
        </is>
      </c>
    </row>
    <row r="206">
      <c r="A206" t="inlineStr">
        <is>
          <t>CZR</t>
        </is>
      </c>
      <c r="B206" t="inlineStr">
        <is>
          <t>2026-07-30</t>
        </is>
      </c>
      <c r="C206" t="n">
        <v>29.64</v>
      </c>
      <c r="D206" t="n">
        <v>44.13</v>
      </c>
      <c r="E206" t="n">
        <v>0.38</v>
      </c>
      <c r="F206" t="n">
        <v>6.6</v>
      </c>
      <c r="G206" t="n">
        <v>-2.55</v>
      </c>
      <c r="H206" t="n">
        <v>45</v>
      </c>
      <c r="I206" t="n">
        <v>60</v>
      </c>
      <c r="J206" t="n">
        <v>65</v>
      </c>
      <c r="K206" t="b">
        <v>0</v>
      </c>
      <c r="L206" t="b">
        <v>0</v>
      </c>
      <c r="M206" t="inlineStr">
        <is>
          <t>AVOID</t>
        </is>
      </c>
    </row>
    <row r="207">
      <c r="A207" t="inlineStr">
        <is>
          <t>DBX</t>
        </is>
      </c>
      <c r="B207" t="inlineStr">
        <is>
          <t>2026-07-30</t>
        </is>
      </c>
      <c r="C207" t="n">
        <v>32.05</v>
      </c>
      <c r="D207" t="n">
        <v>64.59</v>
      </c>
      <c r="E207" t="n">
        <v>0.74</v>
      </c>
      <c r="F207" t="n">
        <v>31.95</v>
      </c>
      <c r="G207" t="n">
        <v>-3.84</v>
      </c>
      <c r="H207" t="n">
        <v>60</v>
      </c>
      <c r="I207" t="n">
        <v>70</v>
      </c>
      <c r="J207" t="n">
        <v>100</v>
      </c>
      <c r="K207" t="b">
        <v>0</v>
      </c>
      <c r="L207" t="b">
        <v>0</v>
      </c>
      <c r="M207" t="inlineStr">
        <is>
          <t>HIGH CONVICTION</t>
        </is>
      </c>
    </row>
    <row r="208">
      <c r="A208" t="inlineStr">
        <is>
          <t>DDOG</t>
        </is>
      </c>
      <c r="B208" t="inlineStr">
        <is>
          <t>2026-07-30</t>
        </is>
      </c>
      <c r="C208" t="n">
        <v>266.61</v>
      </c>
      <c r="D208" t="n">
        <v>56.24</v>
      </c>
      <c r="E208" t="n">
        <v>0.64</v>
      </c>
      <c r="F208" t="n">
        <v>101.69</v>
      </c>
      <c r="G208" t="n">
        <v>-3.92</v>
      </c>
      <c r="H208" t="n">
        <v>60</v>
      </c>
      <c r="I208" t="n">
        <v>70</v>
      </c>
      <c r="J208" t="n">
        <v>100</v>
      </c>
      <c r="K208" t="b">
        <v>0</v>
      </c>
      <c r="L208" t="b">
        <v>0</v>
      </c>
      <c r="M208" t="inlineStr">
        <is>
          <t>HIGH CONVICTION</t>
        </is>
      </c>
    </row>
    <row r="209">
      <c r="A209" t="inlineStr">
        <is>
          <t>DFH</t>
        </is>
      </c>
      <c r="B209" t="inlineStr">
        <is>
          <t>2026-07-30</t>
        </is>
      </c>
      <c r="C209" t="n">
        <v>13.73</v>
      </c>
      <c r="D209" t="n">
        <v>37.82</v>
      </c>
      <c r="E209" t="n">
        <v>0.72</v>
      </c>
      <c r="F209" t="n">
        <v>-5.96</v>
      </c>
      <c r="G209" t="n">
        <v>-55.7</v>
      </c>
      <c r="H209" t="n">
        <v>10</v>
      </c>
      <c r="I209" t="n">
        <v>0</v>
      </c>
      <c r="J209" t="n">
        <v>10</v>
      </c>
      <c r="K209" t="b">
        <v>0</v>
      </c>
      <c r="L209" t="b">
        <v>0</v>
      </c>
      <c r="M209" t="inlineStr">
        <is>
          <t>AVOID</t>
        </is>
      </c>
    </row>
    <row r="210">
      <c r="A210" t="inlineStr">
        <is>
          <t>DGII</t>
        </is>
      </c>
      <c r="B210" t="inlineStr">
        <is>
          <t>2026-07-30</t>
        </is>
      </c>
      <c r="C210" t="n">
        <v>67.70999999999999</v>
      </c>
      <c r="D210" t="n">
        <v>50.06</v>
      </c>
      <c r="E210" t="n">
        <v>0.49</v>
      </c>
      <c r="F210" t="n">
        <v>20.82</v>
      </c>
      <c r="G210" t="n">
        <v>-9.66</v>
      </c>
      <c r="H210" t="n">
        <v>40</v>
      </c>
      <c r="I210" t="n">
        <v>65</v>
      </c>
      <c r="J210" t="n">
        <v>70</v>
      </c>
      <c r="K210" t="b">
        <v>0</v>
      </c>
      <c r="L210" t="b">
        <v>0</v>
      </c>
      <c r="M210" t="inlineStr">
        <is>
          <t>AVOID</t>
        </is>
      </c>
    </row>
    <row r="211">
      <c r="A211" t="inlineStr">
        <is>
          <t>DIOD</t>
        </is>
      </c>
      <c r="B211" t="inlineStr">
        <is>
          <t>2026-07-30</t>
        </is>
      </c>
      <c r="C211" t="n">
        <v>82.12</v>
      </c>
      <c r="D211" t="n">
        <v>36.17</v>
      </c>
      <c r="E211" t="n">
        <v>0.84</v>
      </c>
      <c r="F211" t="n">
        <v>-23.36</v>
      </c>
      <c r="G211" t="n">
        <v>-33.11</v>
      </c>
      <c r="H211" t="n">
        <v>25</v>
      </c>
      <c r="I211" t="n">
        <v>25</v>
      </c>
      <c r="J211" t="n">
        <v>25</v>
      </c>
      <c r="K211" t="b">
        <v>0</v>
      </c>
      <c r="L211" t="b">
        <v>0</v>
      </c>
      <c r="M211" t="inlineStr">
        <is>
          <t>AVOID</t>
        </is>
      </c>
    </row>
    <row r="212">
      <c r="A212" t="inlineStr">
        <is>
          <t>DKNG</t>
        </is>
      </c>
      <c r="B212" t="inlineStr">
        <is>
          <t>2026-07-30</t>
        </is>
      </c>
      <c r="C212" t="n">
        <v>23.39</v>
      </c>
      <c r="D212" t="n">
        <v>27.92</v>
      </c>
      <c r="E212" t="n">
        <v>0.68</v>
      </c>
      <c r="F212" t="n">
        <v>0.3</v>
      </c>
      <c r="G212" t="n">
        <v>-51.5</v>
      </c>
      <c r="H212" t="n">
        <v>0</v>
      </c>
      <c r="I212" t="n">
        <v>0</v>
      </c>
      <c r="J212" t="n">
        <v>0</v>
      </c>
      <c r="K212" t="b">
        <v>0</v>
      </c>
      <c r="L212" t="b">
        <v>0</v>
      </c>
      <c r="M212" t="inlineStr">
        <is>
          <t>AVOID</t>
        </is>
      </c>
    </row>
    <row r="213">
      <c r="A213" t="inlineStr">
        <is>
          <t>DLTR</t>
        </is>
      </c>
      <c r="B213" t="inlineStr">
        <is>
          <t>2026-07-30</t>
        </is>
      </c>
      <c r="C213" t="n">
        <v>128.35</v>
      </c>
      <c r="D213" t="n">
        <v>55.58</v>
      </c>
      <c r="E213" t="n">
        <v>0.21</v>
      </c>
      <c r="F213" t="n">
        <v>32.16</v>
      </c>
      <c r="G213" t="n">
        <v>-9.109999999999999</v>
      </c>
      <c r="H213" t="n">
        <v>60</v>
      </c>
      <c r="I213" t="n">
        <v>70</v>
      </c>
      <c r="J213" t="n">
        <v>100</v>
      </c>
      <c r="K213" t="b">
        <v>0</v>
      </c>
      <c r="L213" t="b">
        <v>0</v>
      </c>
      <c r="M213" t="inlineStr">
        <is>
          <t>HIGH CONVICTION</t>
        </is>
      </c>
    </row>
    <row r="214">
      <c r="A214" t="inlineStr">
        <is>
          <t>DNLI</t>
        </is>
      </c>
      <c r="B214" t="inlineStr">
        <is>
          <t>2026-07-30</t>
        </is>
      </c>
      <c r="C214" t="n">
        <v>24.27</v>
      </c>
      <c r="D214" t="n">
        <v>42.54</v>
      </c>
      <c r="E214" t="n">
        <v>0.31</v>
      </c>
      <c r="F214" t="n">
        <v>29.65</v>
      </c>
      <c r="G214" t="n">
        <v>-10.8</v>
      </c>
      <c r="H214" t="n">
        <v>45</v>
      </c>
      <c r="I214" t="n">
        <v>60</v>
      </c>
      <c r="J214" t="n">
        <v>65</v>
      </c>
      <c r="K214" t="b">
        <v>0</v>
      </c>
      <c r="L214" t="b">
        <v>0</v>
      </c>
      <c r="M214" t="inlineStr">
        <is>
          <t>AVOID</t>
        </is>
      </c>
    </row>
    <row r="215">
      <c r="A215" t="inlineStr">
        <is>
          <t>DOCU</t>
        </is>
      </c>
      <c r="B215" t="inlineStr">
        <is>
          <t>2026-07-30</t>
        </is>
      </c>
      <c r="C215" t="n">
        <v>53.95</v>
      </c>
      <c r="D215" t="n">
        <v>58.88</v>
      </c>
      <c r="E215" t="n">
        <v>1</v>
      </c>
      <c r="F215" t="n">
        <v>17.31</v>
      </c>
      <c r="G215" t="n">
        <v>-36.54</v>
      </c>
      <c r="H215" t="n">
        <v>35</v>
      </c>
      <c r="I215" t="n">
        <v>60</v>
      </c>
      <c r="J215" t="n">
        <v>45</v>
      </c>
      <c r="K215" t="b">
        <v>0</v>
      </c>
      <c r="L215" t="b">
        <v>0</v>
      </c>
      <c r="M215" t="inlineStr">
        <is>
          <t>AVOID</t>
        </is>
      </c>
    </row>
    <row r="216">
      <c r="A216" t="inlineStr">
        <is>
          <t>DOMO</t>
        </is>
      </c>
      <c r="B216" t="inlineStr">
        <is>
          <t>2026-07-30</t>
        </is>
      </c>
      <c r="C216" t="n">
        <v>3.68</v>
      </c>
      <c r="D216" t="n">
        <v>55.81</v>
      </c>
      <c r="E216" t="n">
        <v>0.17</v>
      </c>
      <c r="F216" t="n">
        <v>3.51</v>
      </c>
      <c r="G216" t="n">
        <v>-79.75</v>
      </c>
      <c r="H216" t="n">
        <v>35</v>
      </c>
      <c r="I216" t="n">
        <v>45</v>
      </c>
      <c r="J216" t="n">
        <v>35</v>
      </c>
      <c r="K216" t="b">
        <v>0</v>
      </c>
      <c r="L216" t="b">
        <v>0</v>
      </c>
      <c r="M216" t="inlineStr">
        <is>
          <t>AVOID</t>
        </is>
      </c>
    </row>
    <row r="217">
      <c r="A217" t="inlineStr">
        <is>
          <t>DOX</t>
        </is>
      </c>
      <c r="B217" t="inlineStr">
        <is>
          <t>2026-07-30</t>
        </is>
      </c>
      <c r="C217" t="n">
        <v>55.28</v>
      </c>
      <c r="D217" t="n">
        <v>61.94</v>
      </c>
      <c r="E217" t="n">
        <v>0.46</v>
      </c>
      <c r="F217" t="n">
        <v>-13.57</v>
      </c>
      <c r="G217" t="n">
        <v>-36.11</v>
      </c>
      <c r="H217" t="n">
        <v>25</v>
      </c>
      <c r="I217" t="n">
        <v>45</v>
      </c>
      <c r="J217" t="n">
        <v>25</v>
      </c>
      <c r="K217" t="b">
        <v>0</v>
      </c>
      <c r="L217" t="b">
        <v>0</v>
      </c>
      <c r="M217" t="inlineStr">
        <is>
          <t>AVOID</t>
        </is>
      </c>
    </row>
    <row r="218">
      <c r="A218" t="inlineStr">
        <is>
          <t>DRVN</t>
        </is>
      </c>
      <c r="B218" t="inlineStr">
        <is>
          <t>2026-07-30</t>
        </is>
      </c>
      <c r="C218" t="n">
        <v>14.51</v>
      </c>
      <c r="D218" t="n">
        <v>40.24</v>
      </c>
      <c r="E218" t="n">
        <v>0.19</v>
      </c>
      <c r="F218" t="n">
        <v>6.89</v>
      </c>
      <c r="G218" t="n">
        <v>-24.49</v>
      </c>
      <c r="H218" t="n">
        <v>35</v>
      </c>
      <c r="I218" t="n">
        <v>60</v>
      </c>
      <c r="J218" t="n">
        <v>35</v>
      </c>
      <c r="K218" t="b">
        <v>0</v>
      </c>
      <c r="L218" t="b">
        <v>0</v>
      </c>
      <c r="M218" t="inlineStr">
        <is>
          <t>AVOID</t>
        </is>
      </c>
    </row>
    <row r="219">
      <c r="A219" t="inlineStr">
        <is>
          <t>DSGX</t>
        </is>
      </c>
      <c r="B219" t="inlineStr">
        <is>
          <t>2026-07-30</t>
        </is>
      </c>
      <c r="C219" t="n">
        <v>74.58</v>
      </c>
      <c r="D219" t="n">
        <v>53.86</v>
      </c>
      <c r="E219" t="n">
        <v>0.55</v>
      </c>
      <c r="F219" t="n">
        <v>3.43</v>
      </c>
      <c r="G219" t="n">
        <v>-30.81</v>
      </c>
      <c r="H219" t="n">
        <v>35</v>
      </c>
      <c r="I219" t="n">
        <v>45</v>
      </c>
      <c r="J219" t="n">
        <v>35</v>
      </c>
      <c r="K219" t="b">
        <v>0</v>
      </c>
      <c r="L219" t="b">
        <v>0</v>
      </c>
      <c r="M219" t="inlineStr">
        <is>
          <t>AVOID</t>
        </is>
      </c>
    </row>
    <row r="220">
      <c r="A220" t="inlineStr">
        <is>
          <t>DTIL</t>
        </is>
      </c>
      <c r="B220" t="inlineStr">
        <is>
          <t>2026-07-30</t>
        </is>
      </c>
      <c r="C220" t="n">
        <v>7.05</v>
      </c>
      <c r="D220" t="n">
        <v>21.78</v>
      </c>
      <c r="E220" t="n">
        <v>0.4</v>
      </c>
      <c r="F220" t="n">
        <v>-1.4</v>
      </c>
      <c r="G220" t="n">
        <v>-24.03</v>
      </c>
      <c r="H220" t="n">
        <v>35</v>
      </c>
      <c r="I220" t="n">
        <v>25</v>
      </c>
      <c r="J220" t="n">
        <v>35</v>
      </c>
      <c r="K220" t="b">
        <v>0</v>
      </c>
      <c r="L220" t="b">
        <v>0</v>
      </c>
      <c r="M220" t="inlineStr">
        <is>
          <t>AVOID</t>
        </is>
      </c>
    </row>
    <row r="221">
      <c r="A221" t="inlineStr">
        <is>
          <t>DXCM</t>
        </is>
      </c>
      <c r="B221" t="inlineStr">
        <is>
          <t>2026-07-30</t>
        </is>
      </c>
      <c r="C221" t="n">
        <v>73.84999999999999</v>
      </c>
      <c r="D221" t="n">
        <v>47.66</v>
      </c>
      <c r="E221" t="n">
        <v>0.73</v>
      </c>
      <c r="F221" t="n">
        <v>24.01</v>
      </c>
      <c r="G221" t="n">
        <v>-17.08</v>
      </c>
      <c r="H221" t="n">
        <v>45</v>
      </c>
      <c r="I221" t="n">
        <v>85</v>
      </c>
      <c r="J221" t="n">
        <v>65</v>
      </c>
      <c r="K221" t="b">
        <v>0</v>
      </c>
      <c r="L221" t="b">
        <v>0</v>
      </c>
      <c r="M221" t="inlineStr">
        <is>
          <t>AVOID</t>
        </is>
      </c>
    </row>
    <row r="222">
      <c r="A222" t="inlineStr">
        <is>
          <t>DYN</t>
        </is>
      </c>
      <c r="B222" t="inlineStr">
        <is>
          <t>2026-07-30</t>
        </is>
      </c>
      <c r="C222" t="n">
        <v>25.18</v>
      </c>
      <c r="D222" t="n">
        <v>61.42</v>
      </c>
      <c r="E222" t="n">
        <v>0.37</v>
      </c>
      <c r="F222" t="n">
        <v>43.5</v>
      </c>
      <c r="G222" t="n">
        <v>-2.76</v>
      </c>
      <c r="H222" t="n">
        <v>60</v>
      </c>
      <c r="I222" t="n">
        <v>70</v>
      </c>
      <c r="J222" t="n">
        <v>100</v>
      </c>
      <c r="K222" t="b">
        <v>0</v>
      </c>
      <c r="L222" t="b">
        <v>0</v>
      </c>
      <c r="M222" t="inlineStr">
        <is>
          <t>HIGH CONVICTION</t>
        </is>
      </c>
    </row>
    <row r="223">
      <c r="A223" t="inlineStr">
        <is>
          <t>EA</t>
        </is>
      </c>
      <c r="B223" t="inlineStr">
        <is>
          <t>2026-07-30</t>
        </is>
      </c>
      <c r="C223" t="n">
        <v>209.48</v>
      </c>
      <c r="D223" t="n">
        <v>85.95</v>
      </c>
      <c r="E223" t="n">
        <v>1.19</v>
      </c>
      <c r="F223" t="n">
        <v>3.61</v>
      </c>
      <c r="G223" t="n">
        <v>0</v>
      </c>
      <c r="H223" t="n">
        <v>60</v>
      </c>
      <c r="I223" t="n">
        <v>75</v>
      </c>
      <c r="J223" t="n">
        <v>90</v>
      </c>
      <c r="K223" t="b">
        <v>0</v>
      </c>
      <c r="L223" t="b">
        <v>0</v>
      </c>
      <c r="M223" t="inlineStr">
        <is>
          <t>WATCH</t>
        </is>
      </c>
    </row>
    <row r="224">
      <c r="A224" t="inlineStr">
        <is>
          <t>EBAY</t>
        </is>
      </c>
      <c r="B224" t="inlineStr">
        <is>
          <t>2026-07-30</t>
        </is>
      </c>
      <c r="C224" t="n">
        <v>112.57</v>
      </c>
      <c r="D224" t="n">
        <v>41.69</v>
      </c>
      <c r="E224" t="n">
        <v>0.44</v>
      </c>
      <c r="F224" t="n">
        <v>9.09</v>
      </c>
      <c r="G224" t="n">
        <v>-5.11</v>
      </c>
      <c r="H224" t="n">
        <v>45</v>
      </c>
      <c r="I224" t="n">
        <v>60</v>
      </c>
      <c r="J224" t="n">
        <v>55</v>
      </c>
      <c r="K224" t="b">
        <v>0</v>
      </c>
      <c r="L224" t="b">
        <v>0</v>
      </c>
      <c r="M224" t="inlineStr">
        <is>
          <t>AVOID</t>
        </is>
      </c>
    </row>
    <row r="225">
      <c r="A225" t="inlineStr">
        <is>
          <t>EBC</t>
        </is>
      </c>
      <c r="B225" t="inlineStr">
        <is>
          <t>2026-07-30</t>
        </is>
      </c>
      <c r="C225" t="n">
        <v>23.27</v>
      </c>
      <c r="D225" t="n">
        <v>60.88</v>
      </c>
      <c r="E225" t="n">
        <v>0.86</v>
      </c>
      <c r="F225" t="n">
        <v>15.89</v>
      </c>
      <c r="G225" t="n">
        <v>-1.19</v>
      </c>
      <c r="H225" t="n">
        <v>60</v>
      </c>
      <c r="I225" t="n">
        <v>85</v>
      </c>
      <c r="J225" t="n">
        <v>100</v>
      </c>
      <c r="K225" t="b">
        <v>0</v>
      </c>
      <c r="L225" t="b">
        <v>0</v>
      </c>
      <c r="M225" t="inlineStr">
        <is>
          <t>HIGH CONVICTION</t>
        </is>
      </c>
    </row>
    <row r="226">
      <c r="A226" t="inlineStr">
        <is>
          <t>ECHO</t>
        </is>
      </c>
      <c r="B226" t="inlineStr">
        <is>
          <t>2026-07-30</t>
        </is>
      </c>
      <c r="C226" t="n">
        <v>85.90000000000001</v>
      </c>
      <c r="D226" t="n">
        <v>33.83</v>
      </c>
      <c r="E226" t="n">
        <v>0.82</v>
      </c>
      <c r="F226" t="n">
        <v>-30.24</v>
      </c>
      <c r="G226" t="n">
        <v>-39.42</v>
      </c>
      <c r="H226" t="n">
        <v>10</v>
      </c>
      <c r="I226" t="n">
        <v>0</v>
      </c>
      <c r="J226" t="n">
        <v>10</v>
      </c>
      <c r="K226" t="b">
        <v>0</v>
      </c>
      <c r="L226" t="b">
        <v>0</v>
      </c>
      <c r="M226" t="inlineStr">
        <is>
          <t>AVOID</t>
        </is>
      </c>
    </row>
    <row r="227">
      <c r="A227" t="inlineStr">
        <is>
          <t>ECPG</t>
        </is>
      </c>
      <c r="B227" t="inlineStr">
        <is>
          <t>2026-07-30</t>
        </is>
      </c>
      <c r="C227" t="n">
        <v>94.39</v>
      </c>
      <c r="D227" t="n">
        <v>53.42</v>
      </c>
      <c r="E227" t="n">
        <v>0.31</v>
      </c>
      <c r="F227" t="n">
        <v>14.03</v>
      </c>
      <c r="G227" t="n">
        <v>-1.58</v>
      </c>
      <c r="H227" t="n">
        <v>60</v>
      </c>
      <c r="I227" t="n">
        <v>70</v>
      </c>
      <c r="J227" t="n">
        <v>100</v>
      </c>
      <c r="K227" t="b">
        <v>0</v>
      </c>
      <c r="L227" t="b">
        <v>0</v>
      </c>
      <c r="M227" t="inlineStr">
        <is>
          <t>HIGH CONVICTION</t>
        </is>
      </c>
    </row>
    <row r="228">
      <c r="A228" t="inlineStr">
        <is>
          <t>EDIT</t>
        </is>
      </c>
      <c r="B228" t="inlineStr">
        <is>
          <t>2026-07-30</t>
        </is>
      </c>
      <c r="C228" t="n">
        <v>2.68</v>
      </c>
      <c r="D228" t="n">
        <v>24.11</v>
      </c>
      <c r="E228" t="n">
        <v>0.25</v>
      </c>
      <c r="F228" t="n">
        <v>-10.66</v>
      </c>
      <c r="G228" t="n">
        <v>-35.42</v>
      </c>
      <c r="H228" t="n">
        <v>35</v>
      </c>
      <c r="I228" t="n">
        <v>25</v>
      </c>
      <c r="J228" t="n">
        <v>35</v>
      </c>
      <c r="K228" t="b">
        <v>0</v>
      </c>
      <c r="L228" t="b">
        <v>0</v>
      </c>
      <c r="M228" t="inlineStr">
        <is>
          <t>AVOID</t>
        </is>
      </c>
    </row>
    <row r="229">
      <c r="A229" t="inlineStr">
        <is>
          <t>EEFT</t>
        </is>
      </c>
      <c r="B229" t="inlineStr">
        <is>
          <t>2026-07-30</t>
        </is>
      </c>
      <c r="C229" t="n">
        <v>77</v>
      </c>
      <c r="D229" t="n">
        <v>49.36</v>
      </c>
      <c r="E229" t="n">
        <v>1.71</v>
      </c>
      <c r="F229" t="n">
        <v>6.38</v>
      </c>
      <c r="G229" t="n">
        <v>-22.23</v>
      </c>
      <c r="H229" t="n">
        <v>35</v>
      </c>
      <c r="I229" t="n">
        <v>100</v>
      </c>
      <c r="J229" t="n">
        <v>55</v>
      </c>
      <c r="K229" t="b">
        <v>0</v>
      </c>
      <c r="L229" t="b">
        <v>0</v>
      </c>
      <c r="M229" t="inlineStr">
        <is>
          <t>AVOID</t>
        </is>
      </c>
    </row>
    <row r="230">
      <c r="A230" t="inlineStr">
        <is>
          <t>EGHT</t>
        </is>
      </c>
      <c r="B230" t="inlineStr">
        <is>
          <t>2026-07-30</t>
        </is>
      </c>
      <c r="C230" t="n">
        <v>1.85</v>
      </c>
      <c r="D230" t="n">
        <v>42.81</v>
      </c>
      <c r="E230" t="n">
        <v>0.55</v>
      </c>
      <c r="F230" t="n">
        <v>-3.91</v>
      </c>
      <c r="G230" t="n">
        <v>-33.15</v>
      </c>
      <c r="H230" t="n">
        <v>10</v>
      </c>
      <c r="I230" t="n">
        <v>0</v>
      </c>
      <c r="J230" t="n">
        <v>10</v>
      </c>
      <c r="K230" t="b">
        <v>0</v>
      </c>
      <c r="L230" t="b">
        <v>0</v>
      </c>
      <c r="M230" t="inlineStr">
        <is>
          <t>AVOID</t>
        </is>
      </c>
    </row>
    <row r="231">
      <c r="A231" t="inlineStr">
        <is>
          <t>EH</t>
        </is>
      </c>
      <c r="B231" t="inlineStr">
        <is>
          <t>2026-07-30</t>
        </is>
      </c>
      <c r="C231" t="n">
        <v>5.19</v>
      </c>
      <c r="D231" t="n">
        <v>40.59</v>
      </c>
      <c r="E231" t="n">
        <v>0.38</v>
      </c>
      <c r="F231" t="n">
        <v>-46.81</v>
      </c>
      <c r="G231" t="n">
        <v>-73.3</v>
      </c>
      <c r="H231" t="n">
        <v>0</v>
      </c>
      <c r="I231" t="n">
        <v>0</v>
      </c>
      <c r="J231" t="n">
        <v>0</v>
      </c>
      <c r="K231" t="b">
        <v>0</v>
      </c>
      <c r="L231" t="b">
        <v>0</v>
      </c>
      <c r="M231" t="inlineStr">
        <is>
          <t>AVOID</t>
        </is>
      </c>
    </row>
    <row r="232">
      <c r="A232" t="inlineStr">
        <is>
          <t>ENPH</t>
        </is>
      </c>
      <c r="B232" t="inlineStr">
        <is>
          <t>2026-07-30</t>
        </is>
      </c>
      <c r="C232" t="n">
        <v>36.65</v>
      </c>
      <c r="D232" t="n">
        <v>29.3</v>
      </c>
      <c r="E232" t="n">
        <v>0.73</v>
      </c>
      <c r="F232" t="n">
        <v>11.2</v>
      </c>
      <c r="G232" t="n">
        <v>-49.33</v>
      </c>
      <c r="H232" t="n">
        <v>10</v>
      </c>
      <c r="I232" t="n">
        <v>0</v>
      </c>
      <c r="J232" t="n">
        <v>20</v>
      </c>
      <c r="K232" t="b">
        <v>0</v>
      </c>
      <c r="L232" t="b">
        <v>0</v>
      </c>
      <c r="M232" t="inlineStr">
        <is>
          <t>AVOID</t>
        </is>
      </c>
    </row>
    <row r="233">
      <c r="A233" t="inlineStr">
        <is>
          <t>ENSG</t>
        </is>
      </c>
      <c r="B233" t="inlineStr">
        <is>
          <t>2026-07-30</t>
        </is>
      </c>
      <c r="C233" t="n">
        <v>178.12</v>
      </c>
      <c r="D233" t="n">
        <v>63.4</v>
      </c>
      <c r="E233" t="n">
        <v>0.36</v>
      </c>
      <c r="F233" t="n">
        <v>-4.55</v>
      </c>
      <c r="G233" t="n">
        <v>-17.41</v>
      </c>
      <c r="H233" t="n">
        <v>35</v>
      </c>
      <c r="I233" t="n">
        <v>45</v>
      </c>
      <c r="J233" t="n">
        <v>35</v>
      </c>
      <c r="K233" t="b">
        <v>0</v>
      </c>
      <c r="L233" t="b">
        <v>0</v>
      </c>
      <c r="M233" t="inlineStr">
        <is>
          <t>AVOID</t>
        </is>
      </c>
    </row>
    <row r="234">
      <c r="A234" t="inlineStr">
        <is>
          <t>ENTG</t>
        </is>
      </c>
      <c r="B234" t="inlineStr">
        <is>
          <t>2026-07-30</t>
        </is>
      </c>
      <c r="C234" t="n">
        <v>118.33</v>
      </c>
      <c r="D234" t="n">
        <v>33.03</v>
      </c>
      <c r="E234" t="n">
        <v>0.61</v>
      </c>
      <c r="F234" t="n">
        <v>-16.23</v>
      </c>
      <c r="G234" t="n">
        <v>-35.64</v>
      </c>
      <c r="H234" t="n">
        <v>10</v>
      </c>
      <c r="I234" t="n">
        <v>0</v>
      </c>
      <c r="J234" t="n">
        <v>10</v>
      </c>
      <c r="K234" t="b">
        <v>0</v>
      </c>
      <c r="L234" t="b">
        <v>0</v>
      </c>
      <c r="M234" t="inlineStr">
        <is>
          <t>AVOID</t>
        </is>
      </c>
    </row>
    <row r="235">
      <c r="A235" t="inlineStr">
        <is>
          <t>EOSE</t>
        </is>
      </c>
      <c r="B235" t="inlineStr">
        <is>
          <t>2026-07-30</t>
        </is>
      </c>
      <c r="C235" t="n">
        <v>3.44</v>
      </c>
      <c r="D235" t="n">
        <v>32.35</v>
      </c>
      <c r="E235" t="n">
        <v>0.65</v>
      </c>
      <c r="F235" t="n">
        <v>-48.58</v>
      </c>
      <c r="G235" t="n">
        <v>-82.05</v>
      </c>
      <c r="H235" t="n">
        <v>0</v>
      </c>
      <c r="I235" t="n">
        <v>0</v>
      </c>
      <c r="J235" t="n">
        <v>0</v>
      </c>
      <c r="K235" t="b">
        <v>0</v>
      </c>
      <c r="L235" t="b">
        <v>0</v>
      </c>
      <c r="M235" t="inlineStr">
        <is>
          <t>AVOID</t>
        </is>
      </c>
    </row>
    <row r="236">
      <c r="A236" t="inlineStr">
        <is>
          <t>EQIX</t>
        </is>
      </c>
      <c r="B236" t="inlineStr">
        <is>
          <t>2026-07-30</t>
        </is>
      </c>
      <c r="C236" t="n">
        <v>1049.55</v>
      </c>
      <c r="D236" t="n">
        <v>49.65</v>
      </c>
      <c r="E236" t="n">
        <v>1.06</v>
      </c>
      <c r="F236" t="n">
        <v>-2.59</v>
      </c>
      <c r="G236" t="n">
        <v>-5.95</v>
      </c>
      <c r="H236" t="n">
        <v>35</v>
      </c>
      <c r="I236" t="n">
        <v>80</v>
      </c>
      <c r="J236" t="n">
        <v>45</v>
      </c>
      <c r="K236" t="b">
        <v>0</v>
      </c>
      <c r="L236" t="b">
        <v>0</v>
      </c>
      <c r="M236" t="inlineStr">
        <is>
          <t>AVOID</t>
        </is>
      </c>
    </row>
    <row r="237">
      <c r="A237" t="inlineStr">
        <is>
          <t>ERIC</t>
        </is>
      </c>
      <c r="B237" t="inlineStr">
        <is>
          <t>2026-07-30</t>
        </is>
      </c>
      <c r="C237" t="n">
        <v>9.77</v>
      </c>
      <c r="D237" t="n">
        <v>28.34</v>
      </c>
      <c r="E237" t="n">
        <v>0.42</v>
      </c>
      <c r="F237" t="n">
        <v>-17.23</v>
      </c>
      <c r="G237" t="n">
        <v>-28.86</v>
      </c>
      <c r="H237" t="n">
        <v>10</v>
      </c>
      <c r="I237" t="n">
        <v>0</v>
      </c>
      <c r="J237" t="n">
        <v>10</v>
      </c>
      <c r="K237" t="b">
        <v>0</v>
      </c>
      <c r="L237" t="b">
        <v>0</v>
      </c>
      <c r="M237" t="inlineStr">
        <is>
          <t>AVOID</t>
        </is>
      </c>
    </row>
    <row r="238">
      <c r="A238" t="inlineStr">
        <is>
          <t>ERII</t>
        </is>
      </c>
      <c r="B238" t="inlineStr">
        <is>
          <t>2026-07-30</t>
        </is>
      </c>
      <c r="C238" t="n">
        <v>8.32</v>
      </c>
      <c r="D238" t="n">
        <v>35.89</v>
      </c>
      <c r="E238" t="n">
        <v>0.77</v>
      </c>
      <c r="F238" t="n">
        <v>-24.8</v>
      </c>
      <c r="G238" t="n">
        <v>-54.03</v>
      </c>
      <c r="H238" t="n">
        <v>10</v>
      </c>
      <c r="I238" t="n">
        <v>0</v>
      </c>
      <c r="J238" t="n">
        <v>10</v>
      </c>
      <c r="K238" t="b">
        <v>0</v>
      </c>
      <c r="L238" t="b">
        <v>0</v>
      </c>
      <c r="M238" t="inlineStr">
        <is>
          <t>AVOID</t>
        </is>
      </c>
    </row>
    <row r="239">
      <c r="A239" t="inlineStr">
        <is>
          <t>ESTA</t>
        </is>
      </c>
      <c r="B239" t="inlineStr">
        <is>
          <t>2026-07-30</t>
        </is>
      </c>
      <c r="C239" t="n">
        <v>93.43000000000001</v>
      </c>
      <c r="D239" t="n">
        <v>64.81</v>
      </c>
      <c r="E239" t="n">
        <v>0.62</v>
      </c>
      <c r="F239" t="n">
        <v>36.13</v>
      </c>
      <c r="G239" t="n">
        <v>-2.33</v>
      </c>
      <c r="H239" t="n">
        <v>60</v>
      </c>
      <c r="I239" t="n">
        <v>85</v>
      </c>
      <c r="J239" t="n">
        <v>100</v>
      </c>
      <c r="K239" t="b">
        <v>0</v>
      </c>
      <c r="L239" t="b">
        <v>0</v>
      </c>
      <c r="M239" t="inlineStr">
        <is>
          <t>HIGH CONVICTION</t>
        </is>
      </c>
    </row>
    <row r="240">
      <c r="A240" t="inlineStr">
        <is>
          <t>ETSY</t>
        </is>
      </c>
      <c r="B240" t="inlineStr">
        <is>
          <t>2026-07-30</t>
        </is>
      </c>
      <c r="C240" t="n">
        <v>83.34999999999999</v>
      </c>
      <c r="D240" t="n">
        <v>55.25</v>
      </c>
      <c r="E240" t="n">
        <v>0.44</v>
      </c>
      <c r="F240" t="n">
        <v>29.55</v>
      </c>
      <c r="G240" t="n">
        <v>-3.61</v>
      </c>
      <c r="H240" t="n">
        <v>60</v>
      </c>
      <c r="I240" t="n">
        <v>85</v>
      </c>
      <c r="J240" t="n">
        <v>100</v>
      </c>
      <c r="K240" t="b">
        <v>0</v>
      </c>
      <c r="L240" t="b">
        <v>0</v>
      </c>
      <c r="M240" t="inlineStr">
        <is>
          <t>HIGH CONVICTION</t>
        </is>
      </c>
    </row>
    <row r="241">
      <c r="A241" t="inlineStr">
        <is>
          <t>EVER</t>
        </is>
      </c>
      <c r="B241" t="inlineStr">
        <is>
          <t>2026-07-30</t>
        </is>
      </c>
      <c r="C241" t="n">
        <v>25.1</v>
      </c>
      <c r="D241" t="n">
        <v>51.18</v>
      </c>
      <c r="E241" t="n">
        <v>0.7</v>
      </c>
      <c r="F241" t="n">
        <v>74.09999999999999</v>
      </c>
      <c r="G241" t="n">
        <v>-9.92</v>
      </c>
      <c r="H241" t="n">
        <v>50</v>
      </c>
      <c r="I241" t="n">
        <v>85</v>
      </c>
      <c r="J241" t="n">
        <v>100</v>
      </c>
      <c r="K241" t="b">
        <v>0</v>
      </c>
      <c r="L241" t="b">
        <v>0</v>
      </c>
      <c r="M241" t="inlineStr">
        <is>
          <t>HIGH CONVICTION</t>
        </is>
      </c>
    </row>
    <row r="242">
      <c r="A242" t="inlineStr">
        <is>
          <t>EWBC</t>
        </is>
      </c>
      <c r="B242" t="inlineStr">
        <is>
          <t>2026-07-30</t>
        </is>
      </c>
      <c r="C242" t="n">
        <v>131.35</v>
      </c>
      <c r="D242" t="n">
        <v>49.38</v>
      </c>
      <c r="E242" t="n">
        <v>0.3</v>
      </c>
      <c r="F242" t="n">
        <v>4.52</v>
      </c>
      <c r="G242" t="n">
        <v>-3.52</v>
      </c>
      <c r="H242" t="n">
        <v>45</v>
      </c>
      <c r="I242" t="n">
        <v>85</v>
      </c>
      <c r="J242" t="n">
        <v>65</v>
      </c>
      <c r="K242" t="b">
        <v>0</v>
      </c>
      <c r="L242" t="b">
        <v>0</v>
      </c>
      <c r="M242" t="inlineStr">
        <is>
          <t>AVOID</t>
        </is>
      </c>
    </row>
    <row r="243">
      <c r="A243" t="inlineStr">
        <is>
          <t>EXC</t>
        </is>
      </c>
      <c r="B243" t="inlineStr">
        <is>
          <t>2026-07-30</t>
        </is>
      </c>
      <c r="C243" t="n">
        <v>45.37</v>
      </c>
      <c r="D243" t="n">
        <v>40.73</v>
      </c>
      <c r="E243" t="n">
        <v>1.08</v>
      </c>
      <c r="F243" t="n">
        <v>-0.42</v>
      </c>
      <c r="G243" t="n">
        <v>-8.93</v>
      </c>
      <c r="H243" t="n">
        <v>20</v>
      </c>
      <c r="I243" t="n">
        <v>15</v>
      </c>
      <c r="J243" t="n">
        <v>30</v>
      </c>
      <c r="K243" t="b">
        <v>0</v>
      </c>
      <c r="L243" t="b">
        <v>0</v>
      </c>
      <c r="M243" t="inlineStr">
        <is>
          <t>AVOID</t>
        </is>
      </c>
    </row>
    <row r="244">
      <c r="A244" t="inlineStr">
        <is>
          <t>EXEL</t>
        </is>
      </c>
      <c r="B244" t="inlineStr">
        <is>
          <t>2026-07-30</t>
        </is>
      </c>
      <c r="C244" t="n">
        <v>55.69</v>
      </c>
      <c r="D244" t="n">
        <v>44.27</v>
      </c>
      <c r="E244" t="n">
        <v>0.35</v>
      </c>
      <c r="F244" t="n">
        <v>25.26</v>
      </c>
      <c r="G244" t="n">
        <v>-2.47</v>
      </c>
      <c r="H244" t="n">
        <v>45</v>
      </c>
      <c r="I244" t="n">
        <v>60</v>
      </c>
      <c r="J244" t="n">
        <v>85</v>
      </c>
      <c r="K244" t="b">
        <v>0</v>
      </c>
      <c r="L244" t="b">
        <v>0</v>
      </c>
      <c r="M244" t="inlineStr">
        <is>
          <t>WATCH</t>
        </is>
      </c>
    </row>
    <row r="245">
      <c r="A245" t="inlineStr">
        <is>
          <t>EXLS</t>
        </is>
      </c>
      <c r="B245" t="inlineStr">
        <is>
          <t>2026-07-30</t>
        </is>
      </c>
      <c r="C245" t="n">
        <v>34.45</v>
      </c>
      <c r="D245" t="n">
        <v>71.87</v>
      </c>
      <c r="E245" t="n">
        <v>1.24</v>
      </c>
      <c r="F245" t="n">
        <v>8.06</v>
      </c>
      <c r="G245" t="n">
        <v>-23.41</v>
      </c>
      <c r="H245" t="n">
        <v>50</v>
      </c>
      <c r="I245" t="n">
        <v>60</v>
      </c>
      <c r="J245" t="n">
        <v>60</v>
      </c>
      <c r="K245" t="b">
        <v>0</v>
      </c>
      <c r="L245" t="b">
        <v>0</v>
      </c>
      <c r="M245" t="inlineStr">
        <is>
          <t>AVOID</t>
        </is>
      </c>
    </row>
    <row r="246">
      <c r="A246" t="inlineStr">
        <is>
          <t>EXPD</t>
        </is>
      </c>
      <c r="B246" t="inlineStr">
        <is>
          <t>2026-07-30</t>
        </is>
      </c>
      <c r="C246" t="n">
        <v>167.19</v>
      </c>
      <c r="D246" t="n">
        <v>41.95</v>
      </c>
      <c r="E246" t="n">
        <v>0.55</v>
      </c>
      <c r="F246" t="n">
        <v>13.63</v>
      </c>
      <c r="G246" t="n">
        <v>-8.539999999999999</v>
      </c>
      <c r="H246" t="n">
        <v>45</v>
      </c>
      <c r="I246" t="n">
        <v>45</v>
      </c>
      <c r="J246" t="n">
        <v>65</v>
      </c>
      <c r="K246" t="b">
        <v>0</v>
      </c>
      <c r="L246" t="b">
        <v>0</v>
      </c>
      <c r="M246" t="inlineStr">
        <is>
          <t>AVOID</t>
        </is>
      </c>
    </row>
    <row r="247">
      <c r="A247" t="inlineStr">
        <is>
          <t>EXPE</t>
        </is>
      </c>
      <c r="B247" t="inlineStr">
        <is>
          <t>2026-07-30</t>
        </is>
      </c>
      <c r="C247" t="n">
        <v>292.74</v>
      </c>
      <c r="D247" t="n">
        <v>63.36</v>
      </c>
      <c r="E247" t="n">
        <v>0.6899999999999999</v>
      </c>
      <c r="F247" t="n">
        <v>18.12</v>
      </c>
      <c r="G247" t="n">
        <v>-3.79</v>
      </c>
      <c r="H247" t="n">
        <v>60</v>
      </c>
      <c r="I247" t="n">
        <v>70</v>
      </c>
      <c r="J247" t="n">
        <v>90</v>
      </c>
      <c r="K247" t="b">
        <v>0</v>
      </c>
      <c r="L247" t="b">
        <v>0</v>
      </c>
      <c r="M247" t="inlineStr">
        <is>
          <t>WATCH</t>
        </is>
      </c>
    </row>
    <row r="248">
      <c r="A248" t="inlineStr">
        <is>
          <t>EXPO</t>
        </is>
      </c>
      <c r="B248" t="inlineStr">
        <is>
          <t>2026-07-30</t>
        </is>
      </c>
      <c r="C248" t="n">
        <v>64.48</v>
      </c>
      <c r="D248" t="n">
        <v>56.93</v>
      </c>
      <c r="E248" t="n">
        <v>0.88</v>
      </c>
      <c r="F248" t="n">
        <v>-3.1</v>
      </c>
      <c r="G248" t="n">
        <v>-18.42</v>
      </c>
      <c r="H248" t="n">
        <v>35</v>
      </c>
      <c r="I248" t="n">
        <v>45</v>
      </c>
      <c r="J248" t="n">
        <v>35</v>
      </c>
      <c r="K248" t="b">
        <v>0</v>
      </c>
      <c r="L248" t="b">
        <v>0</v>
      </c>
      <c r="M248" t="inlineStr">
        <is>
          <t>AVOID</t>
        </is>
      </c>
    </row>
    <row r="249">
      <c r="A249" t="inlineStr">
        <is>
          <t>EYE</t>
        </is>
      </c>
      <c r="B249" t="inlineStr">
        <is>
          <t>2026-07-30</t>
        </is>
      </c>
      <c r="C249" t="n">
        <v>22.17</v>
      </c>
      <c r="D249" t="n">
        <v>75.02</v>
      </c>
      <c r="E249" t="n">
        <v>0.38</v>
      </c>
      <c r="F249" t="n">
        <v>-4.5</v>
      </c>
      <c r="G249" t="n">
        <v>-24.73</v>
      </c>
      <c r="H249" t="n">
        <v>35</v>
      </c>
      <c r="I249" t="n">
        <v>20</v>
      </c>
      <c r="J249" t="n">
        <v>35</v>
      </c>
      <c r="K249" t="b">
        <v>0</v>
      </c>
      <c r="L249" t="b">
        <v>0</v>
      </c>
      <c r="M249" t="inlineStr">
        <is>
          <t>AVOID</t>
        </is>
      </c>
    </row>
    <row r="250">
      <c r="A250" t="inlineStr">
        <is>
          <t>FANG</t>
        </is>
      </c>
      <c r="B250" t="inlineStr">
        <is>
          <t>2026-07-30</t>
        </is>
      </c>
      <c r="C250" t="n">
        <v>198.25</v>
      </c>
      <c r="D250" t="n">
        <v>64.56999999999999</v>
      </c>
      <c r="E250" t="n">
        <v>0.37</v>
      </c>
      <c r="F250" t="n">
        <v>-3.06</v>
      </c>
      <c r="G250" t="n">
        <v>-6.72</v>
      </c>
      <c r="H250" t="n">
        <v>50</v>
      </c>
      <c r="I250" t="n">
        <v>70</v>
      </c>
      <c r="J250" t="n">
        <v>60</v>
      </c>
      <c r="K250" t="b">
        <v>0</v>
      </c>
      <c r="L250" t="b">
        <v>0</v>
      </c>
      <c r="M250" t="inlineStr">
        <is>
          <t>AVOID</t>
        </is>
      </c>
    </row>
    <row r="251">
      <c r="A251" t="inlineStr">
        <is>
          <t>FAST</t>
        </is>
      </c>
      <c r="B251" t="inlineStr">
        <is>
          <t>2026-07-30</t>
        </is>
      </c>
      <c r="C251" t="n">
        <v>46.56</v>
      </c>
      <c r="D251" t="n">
        <v>51.56</v>
      </c>
      <c r="E251" t="n">
        <v>0.51</v>
      </c>
      <c r="F251" t="n">
        <v>4.21</v>
      </c>
      <c r="G251" t="n">
        <v>-5.58</v>
      </c>
      <c r="H251" t="n">
        <v>60</v>
      </c>
      <c r="I251" t="n">
        <v>85</v>
      </c>
      <c r="J251" t="n">
        <v>70</v>
      </c>
      <c r="K251" t="b">
        <v>0</v>
      </c>
      <c r="L251" t="b">
        <v>0</v>
      </c>
      <c r="M251" t="inlineStr">
        <is>
          <t>AVOID</t>
        </is>
      </c>
    </row>
    <row r="252">
      <c r="A252" t="inlineStr">
        <is>
          <t>FATE</t>
        </is>
      </c>
      <c r="B252" t="inlineStr">
        <is>
          <t>2026-07-30</t>
        </is>
      </c>
      <c r="C252" t="n">
        <v>2.49</v>
      </c>
      <c r="D252" t="n">
        <v>24.37</v>
      </c>
      <c r="E252" t="n">
        <v>0.24</v>
      </c>
      <c r="F252" t="n">
        <v>99.2</v>
      </c>
      <c r="G252" t="n">
        <v>-19.94</v>
      </c>
      <c r="H252" t="n">
        <v>45</v>
      </c>
      <c r="I252" t="n">
        <v>45</v>
      </c>
      <c r="J252" t="n">
        <v>85</v>
      </c>
      <c r="K252" t="b">
        <v>0</v>
      </c>
      <c r="L252" t="b">
        <v>0</v>
      </c>
      <c r="M252" t="inlineStr">
        <is>
          <t>WATCH</t>
        </is>
      </c>
    </row>
    <row r="253">
      <c r="A253" t="inlineStr">
        <is>
          <t>FBRX</t>
        </is>
      </c>
      <c r="B253" t="inlineStr">
        <is>
          <t>2026-07-30</t>
        </is>
      </c>
      <c r="C253" t="n">
        <v>76.56999999999999</v>
      </c>
      <c r="D253" t="n">
        <v>84.5</v>
      </c>
      <c r="E253" t="n">
        <v>0.8100000000000001</v>
      </c>
      <c r="F253" t="n">
        <v>187.19</v>
      </c>
      <c r="G253" t="n">
        <v>-0.11</v>
      </c>
      <c r="H253" t="n">
        <v>60</v>
      </c>
      <c r="I253" t="n">
        <v>45</v>
      </c>
      <c r="J253" t="n">
        <v>100</v>
      </c>
      <c r="K253" t="b">
        <v>1</v>
      </c>
      <c r="L253" t="b">
        <v>0</v>
      </c>
      <c r="M253" t="inlineStr">
        <is>
          <t>ELITE LEADER</t>
        </is>
      </c>
    </row>
    <row r="254">
      <c r="A254" t="inlineStr">
        <is>
          <t>FCEL</t>
        </is>
      </c>
      <c r="B254" t="inlineStr">
        <is>
          <t>2026-07-30</t>
        </is>
      </c>
      <c r="C254" t="n">
        <v>23.14</v>
      </c>
      <c r="D254" t="n">
        <v>54.2</v>
      </c>
      <c r="E254" t="n">
        <v>0.89</v>
      </c>
      <c r="F254" t="n">
        <v>78</v>
      </c>
      <c r="G254" t="n">
        <v>-35.74</v>
      </c>
      <c r="H254" t="n">
        <v>50</v>
      </c>
      <c r="I254" t="n">
        <v>70</v>
      </c>
      <c r="J254" t="n">
        <v>90</v>
      </c>
      <c r="K254" t="b">
        <v>0</v>
      </c>
      <c r="L254" t="b">
        <v>0</v>
      </c>
      <c r="M254" t="inlineStr">
        <is>
          <t>WATCH</t>
        </is>
      </c>
    </row>
    <row r="255">
      <c r="A255" t="inlineStr">
        <is>
          <t>FCFS</t>
        </is>
      </c>
      <c r="B255" t="inlineStr">
        <is>
          <t>2026-07-30</t>
        </is>
      </c>
      <c r="C255" t="n">
        <v>201.29</v>
      </c>
      <c r="D255" t="n">
        <v>35.01</v>
      </c>
      <c r="E255" t="n">
        <v>0.48</v>
      </c>
      <c r="F255" t="n">
        <v>-7.59</v>
      </c>
      <c r="G255" t="n">
        <v>-13.45</v>
      </c>
      <c r="H255" t="n">
        <v>25</v>
      </c>
      <c r="I255" t="n">
        <v>25</v>
      </c>
      <c r="J255" t="n">
        <v>25</v>
      </c>
      <c r="K255" t="b">
        <v>0</v>
      </c>
      <c r="L255" t="b">
        <v>0</v>
      </c>
      <c r="M255" t="inlineStr">
        <is>
          <t>AVOID</t>
        </is>
      </c>
    </row>
    <row r="256">
      <c r="A256" t="inlineStr">
        <is>
          <t>FDMT</t>
        </is>
      </c>
      <c r="B256" t="inlineStr">
        <is>
          <t>2026-07-30</t>
        </is>
      </c>
      <c r="C256" t="n">
        <v>9.98</v>
      </c>
      <c r="D256" t="n">
        <v>29.05</v>
      </c>
      <c r="E256" t="n">
        <v>0.41</v>
      </c>
      <c r="F256" t="n">
        <v>12.51</v>
      </c>
      <c r="G256" t="n">
        <v>-24.96</v>
      </c>
      <c r="H256" t="n">
        <v>35</v>
      </c>
      <c r="I256" t="n">
        <v>25</v>
      </c>
      <c r="J256" t="n">
        <v>45</v>
      </c>
      <c r="K256" t="b">
        <v>0</v>
      </c>
      <c r="L256" t="b">
        <v>0</v>
      </c>
      <c r="M256" t="inlineStr">
        <is>
          <t>AVOID</t>
        </is>
      </c>
    </row>
    <row r="257">
      <c r="A257" t="inlineStr">
        <is>
          <t>FDUS</t>
        </is>
      </c>
      <c r="B257" t="inlineStr">
        <is>
          <t>2026-07-30</t>
        </is>
      </c>
      <c r="C257" t="n">
        <v>19.94</v>
      </c>
      <c r="D257" t="n">
        <v>46.03</v>
      </c>
      <c r="E257" t="n">
        <v>0.24</v>
      </c>
      <c r="F257" t="n">
        <v>8.720000000000001</v>
      </c>
      <c r="G257" t="n">
        <v>-3.59</v>
      </c>
      <c r="H257" t="n">
        <v>55</v>
      </c>
      <c r="I257" t="n">
        <v>85</v>
      </c>
      <c r="J257" t="n">
        <v>75</v>
      </c>
      <c r="K257" t="b">
        <v>0</v>
      </c>
      <c r="L257" t="b">
        <v>0</v>
      </c>
      <c r="M257" t="inlineStr">
        <is>
          <t>AVOID</t>
        </is>
      </c>
    </row>
    <row r="258">
      <c r="A258" t="inlineStr">
        <is>
          <t>FELE</t>
        </is>
      </c>
      <c r="B258" t="inlineStr">
        <is>
          <t>2026-07-30</t>
        </is>
      </c>
      <c r="C258" t="n">
        <v>103.74</v>
      </c>
      <c r="D258" t="n">
        <v>50.25</v>
      </c>
      <c r="E258" t="n">
        <v>0.44</v>
      </c>
      <c r="F258" t="n">
        <v>3.83</v>
      </c>
      <c r="G258" t="n">
        <v>-5.45</v>
      </c>
      <c r="H258" t="n">
        <v>50</v>
      </c>
      <c r="I258" t="n">
        <v>85</v>
      </c>
      <c r="J258" t="n">
        <v>60</v>
      </c>
      <c r="K258" t="b">
        <v>0</v>
      </c>
      <c r="L258" t="b">
        <v>0</v>
      </c>
      <c r="M258" t="inlineStr">
        <is>
          <t>AVOID</t>
        </is>
      </c>
    </row>
    <row r="259">
      <c r="A259" t="inlineStr">
        <is>
          <t>FFBC</t>
        </is>
      </c>
      <c r="B259" t="inlineStr">
        <is>
          <t>2026-07-30</t>
        </is>
      </c>
      <c r="C259" t="n">
        <v>33.9</v>
      </c>
      <c r="D259" t="n">
        <v>44.96</v>
      </c>
      <c r="E259" t="n">
        <v>0.34</v>
      </c>
      <c r="F259" t="n">
        <v>12.87</v>
      </c>
      <c r="G259" t="n">
        <v>-6.3</v>
      </c>
      <c r="H259" t="n">
        <v>45</v>
      </c>
      <c r="I259" t="n">
        <v>60</v>
      </c>
      <c r="J259" t="n">
        <v>65</v>
      </c>
      <c r="K259" t="b">
        <v>0</v>
      </c>
      <c r="L259" t="b">
        <v>0</v>
      </c>
      <c r="M259" t="inlineStr">
        <is>
          <t>AVOID</t>
        </is>
      </c>
    </row>
    <row r="260">
      <c r="A260" t="inlineStr">
        <is>
          <t>FFIN</t>
        </is>
      </c>
      <c r="B260" t="inlineStr">
        <is>
          <t>2026-07-30</t>
        </is>
      </c>
      <c r="C260" t="n">
        <v>35.04</v>
      </c>
      <c r="D260" t="n">
        <v>54.35</v>
      </c>
      <c r="E260" t="n">
        <v>0.42</v>
      </c>
      <c r="F260" t="n">
        <v>9.31</v>
      </c>
      <c r="G260" t="n">
        <v>-5.46</v>
      </c>
      <c r="H260" t="n">
        <v>60</v>
      </c>
      <c r="I260" t="n">
        <v>85</v>
      </c>
      <c r="J260" t="n">
        <v>70</v>
      </c>
      <c r="K260" t="b">
        <v>0</v>
      </c>
      <c r="L260" t="b">
        <v>0</v>
      </c>
      <c r="M260" t="inlineStr">
        <is>
          <t>AVOID</t>
        </is>
      </c>
    </row>
    <row r="261">
      <c r="A261" t="inlineStr">
        <is>
          <t>FFIV</t>
        </is>
      </c>
      <c r="B261" t="inlineStr">
        <is>
          <t>2026-07-30</t>
        </is>
      </c>
      <c r="C261" t="n">
        <v>389.82</v>
      </c>
      <c r="D261" t="n">
        <v>33.6</v>
      </c>
      <c r="E261" t="n">
        <v>0.58</v>
      </c>
      <c r="F261" t="n">
        <v>20.35</v>
      </c>
      <c r="G261" t="n">
        <v>-9.609999999999999</v>
      </c>
      <c r="H261" t="n">
        <v>35</v>
      </c>
      <c r="I261" t="n">
        <v>25</v>
      </c>
      <c r="J261" t="n">
        <v>65</v>
      </c>
      <c r="K261" t="b">
        <v>0</v>
      </c>
      <c r="L261" t="b">
        <v>0</v>
      </c>
      <c r="M261" t="inlineStr">
        <is>
          <t>AVOID</t>
        </is>
      </c>
    </row>
    <row r="262">
      <c r="A262" t="inlineStr">
        <is>
          <t>FHB</t>
        </is>
      </c>
      <c r="B262" t="inlineStr">
        <is>
          <t>2026-07-30</t>
        </is>
      </c>
      <c r="C262" t="n">
        <v>28</v>
      </c>
      <c r="D262" t="n">
        <v>30.64</v>
      </c>
      <c r="E262" t="n">
        <v>0.29</v>
      </c>
      <c r="F262" t="n">
        <v>3.64</v>
      </c>
      <c r="G262" t="n">
        <v>-7.73</v>
      </c>
      <c r="H262" t="n">
        <v>35</v>
      </c>
      <c r="I262" t="n">
        <v>25</v>
      </c>
      <c r="J262" t="n">
        <v>45</v>
      </c>
      <c r="K262" t="b">
        <v>0</v>
      </c>
      <c r="L262" t="b">
        <v>0</v>
      </c>
      <c r="M262" t="inlineStr">
        <is>
          <t>AVOID</t>
        </is>
      </c>
    </row>
    <row r="263">
      <c r="A263" t="inlineStr">
        <is>
          <t>FHTX</t>
        </is>
      </c>
      <c r="B263" t="inlineStr">
        <is>
          <t>2026-07-30</t>
        </is>
      </c>
      <c r="C263" t="n">
        <v>4.78</v>
      </c>
      <c r="D263" t="n">
        <v>25.93</v>
      </c>
      <c r="E263" t="n">
        <v>0.31</v>
      </c>
      <c r="F263" t="n">
        <v>0.63</v>
      </c>
      <c r="G263" t="n">
        <v>-28.44</v>
      </c>
      <c r="H263" t="n">
        <v>20</v>
      </c>
      <c r="I263" t="n">
        <v>20</v>
      </c>
      <c r="J263" t="n">
        <v>20</v>
      </c>
      <c r="K263" t="b">
        <v>0</v>
      </c>
      <c r="L263" t="b">
        <v>0</v>
      </c>
      <c r="M263" t="inlineStr">
        <is>
          <t>AVOID</t>
        </is>
      </c>
    </row>
    <row r="264">
      <c r="A264" t="inlineStr">
        <is>
          <t>FIBK</t>
        </is>
      </c>
      <c r="B264" t="inlineStr">
        <is>
          <t>2026-07-30</t>
        </is>
      </c>
      <c r="C264" t="n">
        <v>38.53</v>
      </c>
      <c r="D264" t="n">
        <v>47.46</v>
      </c>
      <c r="E264" t="n">
        <v>0.51</v>
      </c>
      <c r="F264" t="n">
        <v>10</v>
      </c>
      <c r="G264" t="n">
        <v>-4.19</v>
      </c>
      <c r="H264" t="n">
        <v>45</v>
      </c>
      <c r="I264" t="n">
        <v>85</v>
      </c>
      <c r="J264" t="n">
        <v>65</v>
      </c>
      <c r="K264" t="b">
        <v>0</v>
      </c>
      <c r="L264" t="b">
        <v>0</v>
      </c>
      <c r="M264" t="inlineStr">
        <is>
          <t>AVOID</t>
        </is>
      </c>
    </row>
    <row r="265">
      <c r="A265" t="inlineStr">
        <is>
          <t>FISV</t>
        </is>
      </c>
      <c r="B265" t="inlineStr">
        <is>
          <t>2026-07-30</t>
        </is>
      </c>
      <c r="C265" t="n">
        <v>53.71</v>
      </c>
      <c r="D265" t="n">
        <v>60.2</v>
      </c>
      <c r="E265" t="n">
        <v>0.77</v>
      </c>
      <c r="F265" t="n">
        <v>-14.27</v>
      </c>
      <c r="G265" t="n">
        <v>-62.31</v>
      </c>
      <c r="H265" t="n">
        <v>25</v>
      </c>
      <c r="I265" t="n">
        <v>45</v>
      </c>
      <c r="J265" t="n">
        <v>25</v>
      </c>
      <c r="K265" t="b">
        <v>0</v>
      </c>
      <c r="L265" t="b">
        <v>0</v>
      </c>
      <c r="M265" t="inlineStr">
        <is>
          <t>AVOID</t>
        </is>
      </c>
    </row>
    <row r="266">
      <c r="A266" t="inlineStr">
        <is>
          <t>FITB</t>
        </is>
      </c>
      <c r="B266" t="inlineStr">
        <is>
          <t>2026-07-30</t>
        </is>
      </c>
      <c r="C266" t="n">
        <v>56.78</v>
      </c>
      <c r="D266" t="n">
        <v>48.24</v>
      </c>
      <c r="E266" t="n">
        <v>0.63</v>
      </c>
      <c r="F266" t="n">
        <v>12.65</v>
      </c>
      <c r="G266" t="n">
        <v>-4.36</v>
      </c>
      <c r="H266" t="n">
        <v>45</v>
      </c>
      <c r="I266" t="n">
        <v>85</v>
      </c>
      <c r="J266" t="n">
        <v>75</v>
      </c>
      <c r="K266" t="b">
        <v>0</v>
      </c>
      <c r="L266" t="b">
        <v>0</v>
      </c>
      <c r="M266" t="inlineStr">
        <is>
          <t>AVOID</t>
        </is>
      </c>
    </row>
    <row r="267">
      <c r="A267" t="inlineStr">
        <is>
          <t>FIVE</t>
        </is>
      </c>
      <c r="B267" t="inlineStr">
        <is>
          <t>2026-07-30</t>
        </is>
      </c>
      <c r="C267" t="n">
        <v>218.96</v>
      </c>
      <c r="D267" t="n">
        <v>89.20999999999999</v>
      </c>
      <c r="E267" t="n">
        <v>0.43</v>
      </c>
      <c r="F267" t="n">
        <v>-7.09</v>
      </c>
      <c r="G267" t="n">
        <v>-11.61</v>
      </c>
      <c r="H267" t="n">
        <v>50</v>
      </c>
      <c r="I267" t="n">
        <v>45</v>
      </c>
      <c r="J267" t="n">
        <v>50</v>
      </c>
      <c r="K267" t="b">
        <v>0</v>
      </c>
      <c r="L267" t="b">
        <v>0</v>
      </c>
      <c r="M267" t="inlineStr">
        <is>
          <t>AVOID</t>
        </is>
      </c>
    </row>
    <row r="268">
      <c r="A268" t="inlineStr">
        <is>
          <t>FIVN</t>
        </is>
      </c>
      <c r="B268" t="inlineStr">
        <is>
          <t>2026-07-30</t>
        </is>
      </c>
      <c r="C268" t="n">
        <v>27.56</v>
      </c>
      <c r="D268" t="n">
        <v>58.95</v>
      </c>
      <c r="E268" t="n">
        <v>1.71</v>
      </c>
      <c r="F268" t="n">
        <v>60.23</v>
      </c>
      <c r="G268" t="n">
        <v>-0.04</v>
      </c>
      <c r="H268" t="n">
        <v>60</v>
      </c>
      <c r="I268" t="n">
        <v>85</v>
      </c>
      <c r="J268" t="n">
        <v>100</v>
      </c>
      <c r="K268" t="b">
        <v>1</v>
      </c>
      <c r="L268" t="b">
        <v>0</v>
      </c>
      <c r="M268" t="inlineStr">
        <is>
          <t>ELITE LEADER</t>
        </is>
      </c>
    </row>
    <row r="269">
      <c r="A269" t="inlineStr">
        <is>
          <t>FIZZ</t>
        </is>
      </c>
      <c r="B269" t="inlineStr">
        <is>
          <t>2026-07-30</t>
        </is>
      </c>
      <c r="C269" t="n">
        <v>32.21</v>
      </c>
      <c r="D269" t="n">
        <v>61.02</v>
      </c>
      <c r="E269" t="n">
        <v>0.38</v>
      </c>
      <c r="F269" t="n">
        <v>4.13</v>
      </c>
      <c r="G269" t="n">
        <v>-24.18</v>
      </c>
      <c r="H269" t="n">
        <v>50</v>
      </c>
      <c r="I269" t="n">
        <v>70</v>
      </c>
      <c r="J269" t="n">
        <v>50</v>
      </c>
      <c r="K269" t="b">
        <v>0</v>
      </c>
      <c r="L269" t="b">
        <v>0</v>
      </c>
      <c r="M269" t="inlineStr">
        <is>
          <t>AVOID</t>
        </is>
      </c>
    </row>
    <row r="270">
      <c r="A270" t="inlineStr">
        <is>
          <t>FLEX</t>
        </is>
      </c>
      <c r="B270" t="inlineStr">
        <is>
          <t>2026-07-30</t>
        </is>
      </c>
      <c r="C270" t="n">
        <v>111.12</v>
      </c>
      <c r="D270" t="n">
        <v>30.87</v>
      </c>
      <c r="E270" t="n">
        <v>1.12</v>
      </c>
      <c r="F270" t="n">
        <v>21.38</v>
      </c>
      <c r="G270" t="n">
        <v>-31.44</v>
      </c>
      <c r="H270" t="n">
        <v>25</v>
      </c>
      <c r="I270" t="n">
        <v>40</v>
      </c>
      <c r="J270" t="n">
        <v>45</v>
      </c>
      <c r="K270" t="b">
        <v>0</v>
      </c>
      <c r="L270" t="b">
        <v>0</v>
      </c>
      <c r="M270" t="inlineStr">
        <is>
          <t>AVOID</t>
        </is>
      </c>
    </row>
    <row r="271">
      <c r="A271" t="inlineStr">
        <is>
          <t>FMNB</t>
        </is>
      </c>
      <c r="B271" t="inlineStr">
        <is>
          <t>2026-07-30</t>
        </is>
      </c>
      <c r="C271" t="n">
        <v>16.01</v>
      </c>
      <c r="D271" t="n">
        <v>78.15000000000001</v>
      </c>
      <c r="E271" t="n">
        <v>0.51</v>
      </c>
      <c r="F271" t="n">
        <v>15.13</v>
      </c>
      <c r="G271" t="n">
        <v>0</v>
      </c>
      <c r="H271" t="n">
        <v>60</v>
      </c>
      <c r="I271" t="n">
        <v>45</v>
      </c>
      <c r="J271" t="n">
        <v>100</v>
      </c>
      <c r="K271" t="b">
        <v>0</v>
      </c>
      <c r="L271" t="b">
        <v>0</v>
      </c>
      <c r="M271" t="inlineStr">
        <is>
          <t>HIGH CONVICTION</t>
        </is>
      </c>
    </row>
    <row r="272">
      <c r="A272" t="inlineStr">
        <is>
          <t>FNKO</t>
        </is>
      </c>
      <c r="B272" t="inlineStr">
        <is>
          <t>2026-07-30</t>
        </is>
      </c>
      <c r="C272" t="n">
        <v>6.01</v>
      </c>
      <c r="D272" t="n">
        <v>59</v>
      </c>
      <c r="E272" t="n">
        <v>0.4</v>
      </c>
      <c r="F272" t="n">
        <v>36.28</v>
      </c>
      <c r="G272" t="n">
        <v>-5.35</v>
      </c>
      <c r="H272" t="n">
        <v>60</v>
      </c>
      <c r="I272" t="n">
        <v>70</v>
      </c>
      <c r="J272" t="n">
        <v>100</v>
      </c>
      <c r="K272" t="b">
        <v>0</v>
      </c>
      <c r="L272" t="b">
        <v>0</v>
      </c>
      <c r="M272" t="inlineStr">
        <is>
          <t>HIGH CONVICTION</t>
        </is>
      </c>
    </row>
    <row r="273">
      <c r="A273" t="inlineStr">
        <is>
          <t>FORM</t>
        </is>
      </c>
      <c r="B273" t="inlineStr">
        <is>
          <t>2026-07-30</t>
        </is>
      </c>
      <c r="C273" t="n">
        <v>104.47</v>
      </c>
      <c r="D273" t="n">
        <v>42.24</v>
      </c>
      <c r="E273" t="n">
        <v>1.14</v>
      </c>
      <c r="F273" t="n">
        <v>-23.14</v>
      </c>
      <c r="G273" t="n">
        <v>-34.67</v>
      </c>
      <c r="H273" t="n">
        <v>25</v>
      </c>
      <c r="I273" t="n">
        <v>40</v>
      </c>
      <c r="J273" t="n">
        <v>25</v>
      </c>
      <c r="K273" t="b">
        <v>0</v>
      </c>
      <c r="L273" t="b">
        <v>0</v>
      </c>
      <c r="M273" t="inlineStr">
        <is>
          <t>AVOID</t>
        </is>
      </c>
    </row>
    <row r="274">
      <c r="A274" t="inlineStr">
        <is>
          <t>FOX</t>
        </is>
      </c>
      <c r="B274" t="inlineStr">
        <is>
          <t>2026-07-30</t>
        </is>
      </c>
      <c r="C274" t="n">
        <v>52.01</v>
      </c>
      <c r="D274" t="n">
        <v>64.73999999999999</v>
      </c>
      <c r="E274" t="n">
        <v>0.4</v>
      </c>
      <c r="F274" t="n">
        <v>-8.800000000000001</v>
      </c>
      <c r="G274" t="n">
        <v>-22.84</v>
      </c>
      <c r="H274" t="n">
        <v>15</v>
      </c>
      <c r="I274" t="n">
        <v>25</v>
      </c>
      <c r="J274" t="n">
        <v>15</v>
      </c>
      <c r="K274" t="b">
        <v>0</v>
      </c>
      <c r="L274" t="b">
        <v>0</v>
      </c>
      <c r="M274" t="inlineStr">
        <is>
          <t>AVOID</t>
        </is>
      </c>
    </row>
    <row r="275">
      <c r="A275" t="inlineStr">
        <is>
          <t>FOXA</t>
        </is>
      </c>
      <c r="B275" t="inlineStr">
        <is>
          <t>2026-07-30</t>
        </is>
      </c>
      <c r="C275" t="n">
        <v>58.43</v>
      </c>
      <c r="D275" t="n">
        <v>67.04000000000001</v>
      </c>
      <c r="E275" t="n">
        <v>0.33</v>
      </c>
      <c r="F275" t="n">
        <v>-7.97</v>
      </c>
      <c r="G275" t="n">
        <v>-22.85</v>
      </c>
      <c r="H275" t="n">
        <v>15</v>
      </c>
      <c r="I275" t="n">
        <v>0</v>
      </c>
      <c r="J275" t="n">
        <v>15</v>
      </c>
      <c r="K275" t="b">
        <v>0</v>
      </c>
      <c r="L275" t="b">
        <v>0</v>
      </c>
      <c r="M275" t="inlineStr">
        <is>
          <t>AVOID</t>
        </is>
      </c>
    </row>
    <row r="276">
      <c r="A276" t="inlineStr">
        <is>
          <t>FOXF</t>
        </is>
      </c>
      <c r="B276" t="inlineStr">
        <is>
          <t>2026-07-30</t>
        </is>
      </c>
      <c r="C276" t="n">
        <v>18.07</v>
      </c>
      <c r="D276" t="n">
        <v>58.54</v>
      </c>
      <c r="E276" t="n">
        <v>0.7</v>
      </c>
      <c r="F276" t="n">
        <v>1.8</v>
      </c>
      <c r="G276" t="n">
        <v>-40.5</v>
      </c>
      <c r="H276" t="n">
        <v>50</v>
      </c>
      <c r="I276" t="n">
        <v>85</v>
      </c>
      <c r="J276" t="n">
        <v>50</v>
      </c>
      <c r="K276" t="b">
        <v>0</v>
      </c>
      <c r="L276" t="b">
        <v>0</v>
      </c>
      <c r="M276" t="inlineStr">
        <is>
          <t>AVOID</t>
        </is>
      </c>
    </row>
    <row r="277">
      <c r="A277" t="inlineStr">
        <is>
          <t>FRME</t>
        </is>
      </c>
      <c r="B277" t="inlineStr">
        <is>
          <t>2026-07-30</t>
        </is>
      </c>
      <c r="C277" t="n">
        <v>43.46</v>
      </c>
      <c r="D277" t="n">
        <v>52.15</v>
      </c>
      <c r="E277" t="n">
        <v>0.29</v>
      </c>
      <c r="F277" t="n">
        <v>8.470000000000001</v>
      </c>
      <c r="G277" t="n">
        <v>-3.91</v>
      </c>
      <c r="H277" t="n">
        <v>60</v>
      </c>
      <c r="I277" t="n">
        <v>85</v>
      </c>
      <c r="J277" t="n">
        <v>80</v>
      </c>
      <c r="K277" t="b">
        <v>0</v>
      </c>
      <c r="L277" t="b">
        <v>0</v>
      </c>
      <c r="M277" t="inlineStr">
        <is>
          <t>AVOID</t>
        </is>
      </c>
    </row>
    <row r="278">
      <c r="A278" t="inlineStr">
        <is>
          <t>FROG</t>
        </is>
      </c>
      <c r="B278" t="inlineStr">
        <is>
          <t>2026-07-30</t>
        </is>
      </c>
      <c r="C278" t="n">
        <v>77.17</v>
      </c>
      <c r="D278" t="n">
        <v>31.77</v>
      </c>
      <c r="E278" t="n">
        <v>0.55</v>
      </c>
      <c r="F278" t="n">
        <v>66.17</v>
      </c>
      <c r="G278" t="n">
        <v>-21.34</v>
      </c>
      <c r="H278" t="n">
        <v>35</v>
      </c>
      <c r="I278" t="n">
        <v>25</v>
      </c>
      <c r="J278" t="n">
        <v>75</v>
      </c>
      <c r="K278" t="b">
        <v>0</v>
      </c>
      <c r="L278" t="b">
        <v>0</v>
      </c>
      <c r="M278" t="inlineStr">
        <is>
          <t>AVOID</t>
        </is>
      </c>
    </row>
    <row r="279">
      <c r="A279" t="inlineStr">
        <is>
          <t>FRPT</t>
        </is>
      </c>
      <c r="B279" t="inlineStr">
        <is>
          <t>2026-07-30</t>
        </is>
      </c>
      <c r="C279" t="n">
        <v>60.23</v>
      </c>
      <c r="D279" t="n">
        <v>68.45</v>
      </c>
      <c r="E279" t="n">
        <v>0.4</v>
      </c>
      <c r="F279" t="n">
        <v>-10.61</v>
      </c>
      <c r="G279" t="n">
        <v>-29.56</v>
      </c>
      <c r="H279" t="n">
        <v>35</v>
      </c>
      <c r="I279" t="n">
        <v>20</v>
      </c>
      <c r="J279" t="n">
        <v>35</v>
      </c>
      <c r="K279" t="b">
        <v>0</v>
      </c>
      <c r="L279" t="b">
        <v>0</v>
      </c>
      <c r="M279" t="inlineStr">
        <is>
          <t>AVOID</t>
        </is>
      </c>
    </row>
    <row r="280">
      <c r="A280" t="inlineStr">
        <is>
          <t>FSLR</t>
        </is>
      </c>
      <c r="B280" t="inlineStr">
        <is>
          <t>2026-07-30</t>
        </is>
      </c>
      <c r="C280" t="n">
        <v>203.67</v>
      </c>
      <c r="D280" t="n">
        <v>27.1</v>
      </c>
      <c r="E280" t="n">
        <v>0.64</v>
      </c>
      <c r="F280" t="n">
        <v>0.88</v>
      </c>
      <c r="G280" t="n">
        <v>-36</v>
      </c>
      <c r="H280" t="n">
        <v>10</v>
      </c>
      <c r="I280" t="n">
        <v>0</v>
      </c>
      <c r="J280" t="n">
        <v>10</v>
      </c>
      <c r="K280" t="b">
        <v>0</v>
      </c>
      <c r="L280" t="b">
        <v>0</v>
      </c>
      <c r="M280" t="inlineStr">
        <is>
          <t>AVOID</t>
        </is>
      </c>
    </row>
    <row r="281">
      <c r="A281" t="inlineStr">
        <is>
          <t>FTDR</t>
        </is>
      </c>
      <c r="B281" t="inlineStr">
        <is>
          <t>2026-07-30</t>
        </is>
      </c>
      <c r="C281" t="n">
        <v>73.56999999999999</v>
      </c>
      <c r="D281" t="n">
        <v>43.59</v>
      </c>
      <c r="E281" t="n">
        <v>0.64</v>
      </c>
      <c r="F281" t="n">
        <v>7.19</v>
      </c>
      <c r="G281" t="n">
        <v>-6.96</v>
      </c>
      <c r="H281" t="n">
        <v>45</v>
      </c>
      <c r="I281" t="n">
        <v>60</v>
      </c>
      <c r="J281" t="n">
        <v>55</v>
      </c>
      <c r="K281" t="b">
        <v>0</v>
      </c>
      <c r="L281" t="b">
        <v>0</v>
      </c>
      <c r="M281" t="inlineStr">
        <is>
          <t>AVOID</t>
        </is>
      </c>
    </row>
    <row r="282">
      <c r="A282" t="inlineStr">
        <is>
          <t>FTNT</t>
        </is>
      </c>
      <c r="B282" t="inlineStr">
        <is>
          <t>2026-07-30</t>
        </is>
      </c>
      <c r="C282" t="n">
        <v>153.99</v>
      </c>
      <c r="D282" t="n">
        <v>44.75</v>
      </c>
      <c r="E282" t="n">
        <v>1.41</v>
      </c>
      <c r="F282" t="n">
        <v>82.65000000000001</v>
      </c>
      <c r="G282" t="n">
        <v>-7.7</v>
      </c>
      <c r="H282" t="n">
        <v>45</v>
      </c>
      <c r="I282" t="n">
        <v>75</v>
      </c>
      <c r="J282" t="n">
        <v>100</v>
      </c>
      <c r="K282" t="b">
        <v>0</v>
      </c>
      <c r="L282" t="b">
        <v>0</v>
      </c>
      <c r="M282" t="inlineStr">
        <is>
          <t>HIGH CONVICTION</t>
        </is>
      </c>
    </row>
    <row r="283">
      <c r="A283" t="inlineStr">
        <is>
          <t>FULC</t>
        </is>
      </c>
      <c r="B283" t="inlineStr">
        <is>
          <t>2026-07-30</t>
        </is>
      </c>
      <c r="C283" t="n">
        <v>3.7</v>
      </c>
      <c r="D283" t="n">
        <v>63.51</v>
      </c>
      <c r="E283" t="n">
        <v>0.46</v>
      </c>
      <c r="F283" t="n">
        <v>-48.11</v>
      </c>
      <c r="G283" t="n">
        <v>-74.66</v>
      </c>
      <c r="H283" t="n">
        <v>15</v>
      </c>
      <c r="I283" t="n">
        <v>40</v>
      </c>
      <c r="J283" t="n">
        <v>15</v>
      </c>
      <c r="K283" t="b">
        <v>0</v>
      </c>
      <c r="L283" t="b">
        <v>0</v>
      </c>
      <c r="M283" t="inlineStr">
        <is>
          <t>AVOID</t>
        </is>
      </c>
    </row>
    <row r="284">
      <c r="A284" t="inlineStr">
        <is>
          <t>FULT</t>
        </is>
      </c>
      <c r="B284" t="inlineStr">
        <is>
          <t>2026-07-30</t>
        </is>
      </c>
      <c r="C284" t="n">
        <v>24.42</v>
      </c>
      <c r="D284" t="n">
        <v>53.82</v>
      </c>
      <c r="E284" t="n">
        <v>0.6</v>
      </c>
      <c r="F284" t="n">
        <v>14</v>
      </c>
      <c r="G284" t="n">
        <v>-3.06</v>
      </c>
      <c r="H284" t="n">
        <v>60</v>
      </c>
      <c r="I284" t="n">
        <v>85</v>
      </c>
      <c r="J284" t="n">
        <v>90</v>
      </c>
      <c r="K284" t="b">
        <v>0</v>
      </c>
      <c r="L284" t="b">
        <v>0</v>
      </c>
      <c r="M284" t="inlineStr">
        <is>
          <t>WATCH</t>
        </is>
      </c>
    </row>
    <row r="285">
      <c r="A285" t="inlineStr">
        <is>
          <t>FUTU</t>
        </is>
      </c>
      <c r="B285" t="inlineStr">
        <is>
          <t>2026-07-30</t>
        </is>
      </c>
      <c r="C285" t="n">
        <v>103.95</v>
      </c>
      <c r="D285" t="n">
        <v>60.8</v>
      </c>
      <c r="E285" t="n">
        <v>0.28</v>
      </c>
      <c r="F285" t="n">
        <v>-32.72</v>
      </c>
      <c r="G285" t="n">
        <v>-46.94</v>
      </c>
      <c r="H285" t="n">
        <v>25</v>
      </c>
      <c r="I285" t="n">
        <v>45</v>
      </c>
      <c r="J285" t="n">
        <v>25</v>
      </c>
      <c r="K285" t="b">
        <v>0</v>
      </c>
      <c r="L285" t="b">
        <v>0</v>
      </c>
      <c r="M285" t="inlineStr">
        <is>
          <t>AVOID</t>
        </is>
      </c>
    </row>
    <row r="286">
      <c r="A286" t="inlineStr">
        <is>
          <t>FWONK</t>
        </is>
      </c>
      <c r="B286" t="inlineStr">
        <is>
          <t>2026-07-30</t>
        </is>
      </c>
      <c r="C286" t="n">
        <v>99.93000000000001</v>
      </c>
      <c r="D286" t="n">
        <v>58.87</v>
      </c>
      <c r="E286" t="n">
        <v>0.68</v>
      </c>
      <c r="F286" t="n">
        <v>16.27</v>
      </c>
      <c r="G286" t="n">
        <v>-7.75</v>
      </c>
      <c r="H286" t="n">
        <v>60</v>
      </c>
      <c r="I286" t="n">
        <v>85</v>
      </c>
      <c r="J286" t="n">
        <v>80</v>
      </c>
      <c r="K286" t="b">
        <v>0</v>
      </c>
      <c r="L286" t="b">
        <v>0</v>
      </c>
      <c r="M286" t="inlineStr">
        <is>
          <t>AVOID</t>
        </is>
      </c>
    </row>
    <row r="287">
      <c r="A287" t="inlineStr">
        <is>
          <t>FWRD</t>
        </is>
      </c>
      <c r="B287" t="inlineStr">
        <is>
          <t>2026-07-30</t>
        </is>
      </c>
      <c r="C287" t="n">
        <v>13.99</v>
      </c>
      <c r="D287" t="n">
        <v>53.92</v>
      </c>
      <c r="E287" t="n">
        <v>0.48</v>
      </c>
      <c r="F287" t="n">
        <v>-33.57</v>
      </c>
      <c r="G287" t="n">
        <v>-55.95</v>
      </c>
      <c r="H287" t="n">
        <v>35</v>
      </c>
      <c r="I287" t="n">
        <v>60</v>
      </c>
      <c r="J287" t="n">
        <v>35</v>
      </c>
      <c r="K287" t="b">
        <v>0</v>
      </c>
      <c r="L287" t="b">
        <v>0</v>
      </c>
      <c r="M287" t="inlineStr">
        <is>
          <t>AVOID</t>
        </is>
      </c>
    </row>
    <row r="288">
      <c r="A288" t="inlineStr">
        <is>
          <t>GBCI</t>
        </is>
      </c>
      <c r="B288" t="inlineStr">
        <is>
          <t>2026-07-30</t>
        </is>
      </c>
      <c r="C288" t="n">
        <v>49.1</v>
      </c>
      <c r="D288" t="n">
        <v>38.09</v>
      </c>
      <c r="E288" t="n">
        <v>0.41</v>
      </c>
      <c r="F288" t="n">
        <v>0.73</v>
      </c>
      <c r="G288" t="n">
        <v>-9.92</v>
      </c>
      <c r="H288" t="n">
        <v>35</v>
      </c>
      <c r="I288" t="n">
        <v>25</v>
      </c>
      <c r="J288" t="n">
        <v>45</v>
      </c>
      <c r="K288" t="b">
        <v>0</v>
      </c>
      <c r="L288" t="b">
        <v>0</v>
      </c>
      <c r="M288" t="inlineStr">
        <is>
          <t>AVOID</t>
        </is>
      </c>
    </row>
    <row r="289">
      <c r="A289" t="inlineStr">
        <is>
          <t>GBDC</t>
        </is>
      </c>
      <c r="B289" t="inlineStr">
        <is>
          <t>2026-07-30</t>
        </is>
      </c>
      <c r="C289" t="n">
        <v>12.78</v>
      </c>
      <c r="D289" t="n">
        <v>45.14</v>
      </c>
      <c r="E289" t="n">
        <v>0.51</v>
      </c>
      <c r="F289" t="n">
        <v>-4.34</v>
      </c>
      <c r="G289" t="n">
        <v>-5.03</v>
      </c>
      <c r="H289" t="n">
        <v>45</v>
      </c>
      <c r="I289" t="n">
        <v>85</v>
      </c>
      <c r="J289" t="n">
        <v>55</v>
      </c>
      <c r="K289" t="b">
        <v>0</v>
      </c>
      <c r="L289" t="b">
        <v>0</v>
      </c>
      <c r="M289" t="inlineStr">
        <is>
          <t>AVOID</t>
        </is>
      </c>
    </row>
    <row r="290">
      <c r="A290" t="inlineStr">
        <is>
          <t>GCMG</t>
        </is>
      </c>
      <c r="B290" t="inlineStr">
        <is>
          <t>2026-07-30</t>
        </is>
      </c>
      <c r="C290" t="n">
        <v>12.48</v>
      </c>
      <c r="D290" t="n">
        <v>33.43</v>
      </c>
      <c r="E290" t="n">
        <v>0.39</v>
      </c>
      <c r="F290" t="n">
        <v>15.54</v>
      </c>
      <c r="G290" t="n">
        <v>-9.67</v>
      </c>
      <c r="H290" t="n">
        <v>45</v>
      </c>
      <c r="I290" t="n">
        <v>45</v>
      </c>
      <c r="J290" t="n">
        <v>65</v>
      </c>
      <c r="K290" t="b">
        <v>0</v>
      </c>
      <c r="L290" t="b">
        <v>0</v>
      </c>
      <c r="M290" t="inlineStr">
        <is>
          <t>AVOID</t>
        </is>
      </c>
    </row>
    <row r="291">
      <c r="A291" t="inlineStr">
        <is>
          <t>GDRX</t>
        </is>
      </c>
      <c r="B291" t="inlineStr">
        <is>
          <t>2026-07-30</t>
        </is>
      </c>
      <c r="C291" t="n">
        <v>3.2</v>
      </c>
      <c r="D291" t="n">
        <v>64.04000000000001</v>
      </c>
      <c r="E291" t="n">
        <v>1.74</v>
      </c>
      <c r="F291" t="n">
        <v>35.59</v>
      </c>
      <c r="G291" t="n">
        <v>-37.5</v>
      </c>
      <c r="H291" t="n">
        <v>60</v>
      </c>
      <c r="I291" t="n">
        <v>85</v>
      </c>
      <c r="J291" t="n">
        <v>100</v>
      </c>
      <c r="K291" t="b">
        <v>0</v>
      </c>
      <c r="L291" t="b">
        <v>0</v>
      </c>
      <c r="M291" t="inlineStr">
        <is>
          <t>HIGH CONVICTION</t>
        </is>
      </c>
    </row>
    <row r="292">
      <c r="A292" t="inlineStr">
        <is>
          <t>GDS</t>
        </is>
      </c>
      <c r="B292" t="inlineStr">
        <is>
          <t>2026-07-30</t>
        </is>
      </c>
      <c r="C292" t="n">
        <v>31.89</v>
      </c>
      <c r="D292" t="n">
        <v>46.11</v>
      </c>
      <c r="E292" t="n">
        <v>0.8</v>
      </c>
      <c r="F292" t="n">
        <v>-24.57</v>
      </c>
      <c r="G292" t="n">
        <v>-32.89</v>
      </c>
      <c r="H292" t="n">
        <v>10</v>
      </c>
      <c r="I292" t="n">
        <v>40</v>
      </c>
      <c r="J292" t="n">
        <v>10</v>
      </c>
      <c r="K292" t="b">
        <v>0</v>
      </c>
      <c r="L292" t="b">
        <v>0</v>
      </c>
      <c r="M292" t="inlineStr">
        <is>
          <t>AVOID</t>
        </is>
      </c>
    </row>
    <row r="293">
      <c r="A293" t="inlineStr">
        <is>
          <t>GDYN</t>
        </is>
      </c>
      <c r="B293" t="inlineStr">
        <is>
          <t>2026-07-30</t>
        </is>
      </c>
      <c r="C293" t="n">
        <v>6.64</v>
      </c>
      <c r="D293" t="n">
        <v>68.41</v>
      </c>
      <c r="E293" t="n">
        <v>0.77</v>
      </c>
      <c r="F293" t="n">
        <v>16.78</v>
      </c>
      <c r="G293" t="n">
        <v>-33.95</v>
      </c>
      <c r="H293" t="n">
        <v>25</v>
      </c>
      <c r="I293" t="n">
        <v>20</v>
      </c>
      <c r="J293" t="n">
        <v>35</v>
      </c>
      <c r="K293" t="b">
        <v>0</v>
      </c>
      <c r="L293" t="b">
        <v>0</v>
      </c>
      <c r="M293" t="inlineStr">
        <is>
          <t>AVOID</t>
        </is>
      </c>
    </row>
    <row r="294">
      <c r="A294" t="inlineStr">
        <is>
          <t>GEVO</t>
        </is>
      </c>
      <c r="B294" t="inlineStr">
        <is>
          <t>2026-07-30</t>
        </is>
      </c>
      <c r="C294" t="n">
        <v>1.52</v>
      </c>
      <c r="D294" t="n">
        <v>53.68</v>
      </c>
      <c r="E294" t="n">
        <v>0.63</v>
      </c>
      <c r="F294" t="n">
        <v>-20.42</v>
      </c>
      <c r="G294" t="n">
        <v>-45.32</v>
      </c>
      <c r="H294" t="n">
        <v>5</v>
      </c>
      <c r="I294" t="n">
        <v>40</v>
      </c>
      <c r="J294" t="n">
        <v>5</v>
      </c>
      <c r="K294" t="b">
        <v>0</v>
      </c>
      <c r="L294" t="b">
        <v>0</v>
      </c>
      <c r="M294" t="inlineStr">
        <is>
          <t>AVOID</t>
        </is>
      </c>
    </row>
    <row r="295">
      <c r="A295" t="inlineStr">
        <is>
          <t>GH</t>
        </is>
      </c>
      <c r="B295" t="inlineStr">
        <is>
          <t>2026-07-30</t>
        </is>
      </c>
      <c r="C295" t="n">
        <v>152.77</v>
      </c>
      <c r="D295" t="n">
        <v>41.89</v>
      </c>
      <c r="E295" t="n">
        <v>0.76</v>
      </c>
      <c r="F295" t="n">
        <v>75.44</v>
      </c>
      <c r="G295" t="n">
        <v>-10.54</v>
      </c>
      <c r="H295" t="n">
        <v>45</v>
      </c>
      <c r="I295" t="n">
        <v>60</v>
      </c>
      <c r="J295" t="n">
        <v>85</v>
      </c>
      <c r="K295" t="b">
        <v>0</v>
      </c>
      <c r="L295" t="b">
        <v>0</v>
      </c>
      <c r="M295" t="inlineStr">
        <is>
          <t>WATCH</t>
        </is>
      </c>
    </row>
    <row r="296">
      <c r="A296" t="inlineStr">
        <is>
          <t>GIII</t>
        </is>
      </c>
      <c r="B296" t="inlineStr">
        <is>
          <t>2026-07-30</t>
        </is>
      </c>
      <c r="C296" t="n">
        <v>36.65</v>
      </c>
      <c r="D296" t="n">
        <v>63.38</v>
      </c>
      <c r="E296" t="n">
        <v>0.32</v>
      </c>
      <c r="F296" t="n">
        <v>17.84</v>
      </c>
      <c r="G296" t="n">
        <v>-0.43</v>
      </c>
      <c r="H296" t="n">
        <v>60</v>
      </c>
      <c r="I296" t="n">
        <v>70</v>
      </c>
      <c r="J296" t="n">
        <v>100</v>
      </c>
      <c r="K296" t="b">
        <v>0</v>
      </c>
      <c r="L296" t="b">
        <v>0</v>
      </c>
      <c r="M296" t="inlineStr">
        <is>
          <t>HIGH CONVICTION</t>
        </is>
      </c>
    </row>
    <row r="297">
      <c r="A297" t="inlineStr">
        <is>
          <t>GILD</t>
        </is>
      </c>
      <c r="B297" t="inlineStr">
        <is>
          <t>2026-07-30</t>
        </is>
      </c>
      <c r="C297" t="n">
        <v>131.02</v>
      </c>
      <c r="D297" t="n">
        <v>52.32</v>
      </c>
      <c r="E297" t="n">
        <v>0.55</v>
      </c>
      <c r="F297" t="n">
        <v>0.8</v>
      </c>
      <c r="G297" t="n">
        <v>-14.87</v>
      </c>
      <c r="H297" t="n">
        <v>40</v>
      </c>
      <c r="I297" t="n">
        <v>85</v>
      </c>
      <c r="J297" t="n">
        <v>40</v>
      </c>
      <c r="K297" t="b">
        <v>0</v>
      </c>
      <c r="L297" t="b">
        <v>0</v>
      </c>
      <c r="M297" t="inlineStr">
        <is>
          <t>AVOID</t>
        </is>
      </c>
    </row>
    <row r="298">
      <c r="A298" t="inlineStr">
        <is>
          <t>GILT</t>
        </is>
      </c>
      <c r="B298" t="inlineStr">
        <is>
          <t>2026-07-30</t>
        </is>
      </c>
      <c r="C298" t="n">
        <v>10.82</v>
      </c>
      <c r="D298" t="n">
        <v>38.03</v>
      </c>
      <c r="E298" t="n">
        <v>0.48</v>
      </c>
      <c r="F298" t="n">
        <v>-41.39</v>
      </c>
      <c r="G298" t="n">
        <v>-48.11</v>
      </c>
      <c r="H298" t="n">
        <v>0</v>
      </c>
      <c r="I298" t="n">
        <v>0</v>
      </c>
      <c r="J298" t="n">
        <v>0</v>
      </c>
      <c r="K298" t="b">
        <v>0</v>
      </c>
      <c r="L298" t="b">
        <v>0</v>
      </c>
      <c r="M298" t="inlineStr">
        <is>
          <t>AVOID</t>
        </is>
      </c>
    </row>
    <row r="299">
      <c r="A299" t="inlineStr">
        <is>
          <t>GLNG</t>
        </is>
      </c>
      <c r="B299" t="inlineStr">
        <is>
          <t>2026-07-30</t>
        </is>
      </c>
      <c r="C299" t="n">
        <v>47.94</v>
      </c>
      <c r="D299" t="n">
        <v>27.46</v>
      </c>
      <c r="E299" t="n">
        <v>0.76</v>
      </c>
      <c r="F299" t="n">
        <v>-12.38</v>
      </c>
      <c r="G299" t="n">
        <v>-16</v>
      </c>
      <c r="H299" t="n">
        <v>25</v>
      </c>
      <c r="I299" t="n">
        <v>25</v>
      </c>
      <c r="J299" t="n">
        <v>25</v>
      </c>
      <c r="K299" t="b">
        <v>0</v>
      </c>
      <c r="L299" t="b">
        <v>0</v>
      </c>
      <c r="M299" t="inlineStr">
        <is>
          <t>AVOID</t>
        </is>
      </c>
    </row>
    <row r="300">
      <c r="A300" t="inlineStr">
        <is>
          <t>GLPI</t>
        </is>
      </c>
      <c r="B300" t="inlineStr">
        <is>
          <t>2026-07-30</t>
        </is>
      </c>
      <c r="C300" t="n">
        <v>44.67</v>
      </c>
      <c r="D300" t="n">
        <v>61.12</v>
      </c>
      <c r="E300" t="n">
        <v>0.67</v>
      </c>
      <c r="F300" t="n">
        <v>-6.2</v>
      </c>
      <c r="G300" t="n">
        <v>-7.27</v>
      </c>
      <c r="H300" t="n">
        <v>40</v>
      </c>
      <c r="I300" t="n">
        <v>65</v>
      </c>
      <c r="J300" t="n">
        <v>50</v>
      </c>
      <c r="K300" t="b">
        <v>0</v>
      </c>
      <c r="L300" t="b">
        <v>0</v>
      </c>
      <c r="M300" t="inlineStr">
        <is>
          <t>AVOID</t>
        </is>
      </c>
    </row>
    <row r="301">
      <c r="A301" t="inlineStr">
        <is>
          <t>GMAB</t>
        </is>
      </c>
      <c r="B301" t="inlineStr">
        <is>
          <t>2026-07-30</t>
        </is>
      </c>
      <c r="C301" t="n">
        <v>28.59</v>
      </c>
      <c r="D301" t="n">
        <v>45.08</v>
      </c>
      <c r="E301" t="n">
        <v>0.64</v>
      </c>
      <c r="F301" t="n">
        <v>7.81</v>
      </c>
      <c r="G301" t="n">
        <v>-19.1</v>
      </c>
      <c r="H301" t="n">
        <v>20</v>
      </c>
      <c r="I301" t="n">
        <v>60</v>
      </c>
      <c r="J301" t="n">
        <v>20</v>
      </c>
      <c r="K301" t="b">
        <v>0</v>
      </c>
      <c r="L301" t="b">
        <v>0</v>
      </c>
      <c r="M301" t="inlineStr">
        <is>
          <t>AVOID</t>
        </is>
      </c>
    </row>
    <row r="302">
      <c r="A302" t="inlineStr">
        <is>
          <t>GNTX</t>
        </is>
      </c>
      <c r="B302" t="inlineStr">
        <is>
          <t>2026-07-30</t>
        </is>
      </c>
      <c r="C302" t="n">
        <v>23.59</v>
      </c>
      <c r="D302" t="n">
        <v>44.28</v>
      </c>
      <c r="E302" t="n">
        <v>0.51</v>
      </c>
      <c r="F302" t="n">
        <v>2.59</v>
      </c>
      <c r="G302" t="n">
        <v>-17.18</v>
      </c>
      <c r="H302" t="n">
        <v>25</v>
      </c>
      <c r="I302" t="n">
        <v>40</v>
      </c>
      <c r="J302" t="n">
        <v>25</v>
      </c>
      <c r="K302" t="b">
        <v>0</v>
      </c>
      <c r="L302" t="b">
        <v>0</v>
      </c>
      <c r="M302" t="inlineStr">
        <is>
          <t>AVOID</t>
        </is>
      </c>
    </row>
    <row r="303">
      <c r="A303" t="inlineStr">
        <is>
          <t>GO</t>
        </is>
      </c>
      <c r="B303" t="inlineStr">
        <is>
          <t>2026-07-30</t>
        </is>
      </c>
      <c r="C303" t="n">
        <v>9.119999999999999</v>
      </c>
      <c r="D303" t="n">
        <v>28.92</v>
      </c>
      <c r="E303" t="n">
        <v>0.67</v>
      </c>
      <c r="F303" t="n">
        <v>15.3</v>
      </c>
      <c r="G303" t="n">
        <v>-51.13</v>
      </c>
      <c r="H303" t="n">
        <v>10</v>
      </c>
      <c r="I303" t="n">
        <v>0</v>
      </c>
      <c r="J303" t="n">
        <v>20</v>
      </c>
      <c r="K303" t="b">
        <v>0</v>
      </c>
      <c r="L303" t="b">
        <v>0</v>
      </c>
      <c r="M303" t="inlineStr">
        <is>
          <t>AVOID</t>
        </is>
      </c>
    </row>
    <row r="304">
      <c r="A304" t="inlineStr">
        <is>
          <t>GOGO</t>
        </is>
      </c>
      <c r="B304" t="inlineStr">
        <is>
          <t>2026-07-30</t>
        </is>
      </c>
      <c r="C304" t="n">
        <v>4.03</v>
      </c>
      <c r="D304" t="n">
        <v>66.01000000000001</v>
      </c>
      <c r="E304" t="n">
        <v>0.43</v>
      </c>
      <c r="F304" t="n">
        <v>-3.47</v>
      </c>
      <c r="G304" t="n">
        <v>-75.44</v>
      </c>
      <c r="H304" t="n">
        <v>25</v>
      </c>
      <c r="I304" t="n">
        <v>20</v>
      </c>
      <c r="J304" t="n">
        <v>25</v>
      </c>
      <c r="K304" t="b">
        <v>0</v>
      </c>
      <c r="L304" t="b">
        <v>0</v>
      </c>
      <c r="M304" t="inlineStr">
        <is>
          <t>AVOID</t>
        </is>
      </c>
    </row>
    <row r="305">
      <c r="A305" t="inlineStr">
        <is>
          <t>GOLD</t>
        </is>
      </c>
      <c r="B305" t="inlineStr">
        <is>
          <t>2026-07-30</t>
        </is>
      </c>
      <c r="C305" t="n">
        <v>41.66</v>
      </c>
      <c r="D305" t="n">
        <v>58.74</v>
      </c>
      <c r="E305" t="n">
        <v>0.71</v>
      </c>
      <c r="F305" t="n">
        <v>-7.34</v>
      </c>
      <c r="G305" t="n">
        <v>-34.5</v>
      </c>
      <c r="H305" t="n">
        <v>50</v>
      </c>
      <c r="I305" t="n">
        <v>70</v>
      </c>
      <c r="J305" t="n">
        <v>50</v>
      </c>
      <c r="K305" t="b">
        <v>0</v>
      </c>
      <c r="L305" t="b">
        <v>0</v>
      </c>
      <c r="M305" t="inlineStr">
        <is>
          <t>AVOID</t>
        </is>
      </c>
    </row>
    <row r="306">
      <c r="A306" t="inlineStr">
        <is>
          <t>GOOD</t>
        </is>
      </c>
      <c r="B306" t="inlineStr">
        <is>
          <t>2026-07-30</t>
        </is>
      </c>
      <c r="C306" t="n">
        <v>12.47</v>
      </c>
      <c r="D306" t="n">
        <v>51.93</v>
      </c>
      <c r="E306" t="n">
        <v>0.6</v>
      </c>
      <c r="F306" t="n">
        <v>1.32</v>
      </c>
      <c r="G306" t="n">
        <v>-4.57</v>
      </c>
      <c r="H306" t="n">
        <v>50</v>
      </c>
      <c r="I306" t="n">
        <v>85</v>
      </c>
      <c r="J306" t="n">
        <v>70</v>
      </c>
      <c r="K306" t="b">
        <v>0</v>
      </c>
      <c r="L306" t="b">
        <v>0</v>
      </c>
      <c r="M306" t="inlineStr">
        <is>
          <t>AVOID</t>
        </is>
      </c>
    </row>
    <row r="307">
      <c r="A307" t="inlineStr">
        <is>
          <t>GOOG</t>
        </is>
      </c>
      <c r="B307" t="inlineStr">
        <is>
          <t>2026-07-30</t>
        </is>
      </c>
      <c r="C307" t="n">
        <v>334.21</v>
      </c>
      <c r="D307" t="n">
        <v>40.11</v>
      </c>
      <c r="E307" t="n">
        <v>0.6</v>
      </c>
      <c r="F307" t="n">
        <v>-12.44</v>
      </c>
      <c r="G307" t="n">
        <v>-16.19</v>
      </c>
      <c r="H307" t="n">
        <v>25</v>
      </c>
      <c r="I307" t="n">
        <v>25</v>
      </c>
      <c r="J307" t="n">
        <v>25</v>
      </c>
      <c r="K307" t="b">
        <v>0</v>
      </c>
      <c r="L307" t="b">
        <v>0</v>
      </c>
      <c r="M307" t="inlineStr">
        <is>
          <t>AVOID</t>
        </is>
      </c>
    </row>
    <row r="308">
      <c r="A308" t="inlineStr">
        <is>
          <t>GOOGL</t>
        </is>
      </c>
      <c r="B308" t="inlineStr">
        <is>
          <t>2026-07-30</t>
        </is>
      </c>
      <c r="C308" t="n">
        <v>334.26</v>
      </c>
      <c r="D308" t="n">
        <v>39.41</v>
      </c>
      <c r="E308" t="n">
        <v>0.71</v>
      </c>
      <c r="F308" t="n">
        <v>-13.08</v>
      </c>
      <c r="G308" t="n">
        <v>-16.93</v>
      </c>
      <c r="H308" t="n">
        <v>25</v>
      </c>
      <c r="I308" t="n">
        <v>25</v>
      </c>
      <c r="J308" t="n">
        <v>25</v>
      </c>
      <c r="K308" t="b">
        <v>0</v>
      </c>
      <c r="L308" t="b">
        <v>0</v>
      </c>
      <c r="M308" t="inlineStr">
        <is>
          <t>AVOID</t>
        </is>
      </c>
    </row>
    <row r="309">
      <c r="A309" t="inlineStr">
        <is>
          <t>GOSS</t>
        </is>
      </c>
      <c r="B309" t="inlineStr">
        <is>
          <t>2026-07-30</t>
        </is>
      </c>
      <c r="C309" t="n">
        <v>0.17</v>
      </c>
      <c r="D309" t="n">
        <v>50.22</v>
      </c>
      <c r="E309" t="n">
        <v>0.54</v>
      </c>
      <c r="F309" t="n">
        <v>-53.53</v>
      </c>
      <c r="G309" t="n">
        <v>-95.48999999999999</v>
      </c>
      <c r="H309" t="n">
        <v>15</v>
      </c>
      <c r="I309" t="n">
        <v>40</v>
      </c>
      <c r="J309" t="n">
        <v>15</v>
      </c>
      <c r="K309" t="b">
        <v>0</v>
      </c>
      <c r="L309" t="b">
        <v>0</v>
      </c>
      <c r="M309" t="inlineStr">
        <is>
          <t>AVOID</t>
        </is>
      </c>
    </row>
    <row r="310">
      <c r="A310" t="inlineStr">
        <is>
          <t>GPRE</t>
        </is>
      </c>
      <c r="B310" t="inlineStr">
        <is>
          <t>2026-07-30</t>
        </is>
      </c>
      <c r="C310" t="n">
        <v>17.16</v>
      </c>
      <c r="D310" t="n">
        <v>51.5</v>
      </c>
      <c r="E310" t="n">
        <v>0.65</v>
      </c>
      <c r="F310" t="n">
        <v>-1.27</v>
      </c>
      <c r="G310" t="n">
        <v>-10.76</v>
      </c>
      <c r="H310" t="n">
        <v>60</v>
      </c>
      <c r="I310" t="n">
        <v>85</v>
      </c>
      <c r="J310" t="n">
        <v>60</v>
      </c>
      <c r="K310" t="b">
        <v>0</v>
      </c>
      <c r="L310" t="b">
        <v>0</v>
      </c>
      <c r="M310" t="inlineStr">
        <is>
          <t>AVOID</t>
        </is>
      </c>
    </row>
    <row r="311">
      <c r="A311" t="inlineStr">
        <is>
          <t>GRFS</t>
        </is>
      </c>
      <c r="B311" t="inlineStr">
        <is>
          <t>2026-07-30</t>
        </is>
      </c>
      <c r="C311" t="n">
        <v>8.18</v>
      </c>
      <c r="D311" t="n">
        <v>70.52</v>
      </c>
      <c r="E311" t="n">
        <v>1.07</v>
      </c>
      <c r="F311" t="n">
        <v>0.55</v>
      </c>
      <c r="G311" t="n">
        <v>-22.86</v>
      </c>
      <c r="H311" t="n">
        <v>35</v>
      </c>
      <c r="I311" t="n">
        <v>35</v>
      </c>
      <c r="J311" t="n">
        <v>35</v>
      </c>
      <c r="K311" t="b">
        <v>0</v>
      </c>
      <c r="L311" t="b">
        <v>0</v>
      </c>
      <c r="M311" t="inlineStr">
        <is>
          <t>AVOID</t>
        </is>
      </c>
    </row>
    <row r="312">
      <c r="A312" t="inlineStr">
        <is>
          <t>GRMN</t>
        </is>
      </c>
      <c r="B312" t="inlineStr">
        <is>
          <t>2026-07-30</t>
        </is>
      </c>
      <c r="C312" t="n">
        <v>292.85</v>
      </c>
      <c r="D312" t="n">
        <v>78.01000000000001</v>
      </c>
      <c r="E312" t="n">
        <v>0.77</v>
      </c>
      <c r="F312" t="n">
        <v>17.12</v>
      </c>
      <c r="G312" t="n">
        <v>-0.67</v>
      </c>
      <c r="H312" t="n">
        <v>60</v>
      </c>
      <c r="I312" t="n">
        <v>45</v>
      </c>
      <c r="J312" t="n">
        <v>100</v>
      </c>
      <c r="K312" t="b">
        <v>0</v>
      </c>
      <c r="L312" t="b">
        <v>0</v>
      </c>
      <c r="M312" t="inlineStr">
        <is>
          <t>HIGH CONVICTION</t>
        </is>
      </c>
    </row>
    <row r="313">
      <c r="A313" t="inlineStr">
        <is>
          <t>GRPN</t>
        </is>
      </c>
      <c r="B313" t="inlineStr">
        <is>
          <t>2026-07-30</t>
        </is>
      </c>
      <c r="C313" t="n">
        <v>27.66</v>
      </c>
      <c r="D313" t="n">
        <v>54.31</v>
      </c>
      <c r="E313" t="n">
        <v>0.51</v>
      </c>
      <c r="F313" t="n">
        <v>94.65000000000001</v>
      </c>
      <c r="G313" t="n">
        <v>-25.02</v>
      </c>
      <c r="H313" t="n">
        <v>60</v>
      </c>
      <c r="I313" t="n">
        <v>70</v>
      </c>
      <c r="J313" t="n">
        <v>100</v>
      </c>
      <c r="K313" t="b">
        <v>0</v>
      </c>
      <c r="L313" t="b">
        <v>0</v>
      </c>
      <c r="M313" t="inlineStr">
        <is>
          <t>HIGH CONVICTION</t>
        </is>
      </c>
    </row>
    <row r="314">
      <c r="A314" t="inlineStr">
        <is>
          <t>GSHD</t>
        </is>
      </c>
      <c r="B314" t="inlineStr">
        <is>
          <t>2026-07-30</t>
        </is>
      </c>
      <c r="C314" t="n">
        <v>63.53</v>
      </c>
      <c r="D314" t="n">
        <v>60.64</v>
      </c>
      <c r="E314" t="n">
        <v>0.79</v>
      </c>
      <c r="F314" t="n">
        <v>41.84</v>
      </c>
      <c r="G314" t="n">
        <v>-30.53</v>
      </c>
      <c r="H314" t="n">
        <v>50</v>
      </c>
      <c r="I314" t="n">
        <v>70</v>
      </c>
      <c r="J314" t="n">
        <v>80</v>
      </c>
      <c r="K314" t="b">
        <v>0</v>
      </c>
      <c r="L314" t="b">
        <v>0</v>
      </c>
      <c r="M314" t="inlineStr">
        <is>
          <t>AVOID</t>
        </is>
      </c>
    </row>
    <row r="315">
      <c r="A315" t="inlineStr">
        <is>
          <t>GT</t>
        </is>
      </c>
      <c r="B315" t="inlineStr">
        <is>
          <t>2026-07-30</t>
        </is>
      </c>
      <c r="C315" t="n">
        <v>7.07</v>
      </c>
      <c r="D315" t="n">
        <v>55.72</v>
      </c>
      <c r="E315" t="n">
        <v>0.44</v>
      </c>
      <c r="F315" t="n">
        <v>-0.07000000000000001</v>
      </c>
      <c r="G315" t="n">
        <v>-32.87</v>
      </c>
      <c r="H315" t="n">
        <v>35</v>
      </c>
      <c r="I315" t="n">
        <v>60</v>
      </c>
      <c r="J315" t="n">
        <v>35</v>
      </c>
      <c r="K315" t="b">
        <v>0</v>
      </c>
      <c r="L315" t="b">
        <v>0</v>
      </c>
      <c r="M315" t="inlineStr">
        <is>
          <t>AVOID</t>
        </is>
      </c>
    </row>
    <row r="316">
      <c r="A316" t="inlineStr">
        <is>
          <t>HAIN</t>
        </is>
      </c>
      <c r="B316" t="inlineStr">
        <is>
          <t>2026-07-30</t>
        </is>
      </c>
      <c r="C316" t="n">
        <v>0.5</v>
      </c>
      <c r="D316" t="n">
        <v>38.29</v>
      </c>
      <c r="E316" t="n">
        <v>0.45</v>
      </c>
      <c r="F316" t="n">
        <v>-22.82</v>
      </c>
      <c r="G316" t="n">
        <v>-76.67</v>
      </c>
      <c r="H316" t="n">
        <v>0</v>
      </c>
      <c r="I316" t="n">
        <v>0</v>
      </c>
      <c r="J316" t="n">
        <v>0</v>
      </c>
      <c r="K316" t="b">
        <v>0</v>
      </c>
      <c r="L316" t="b">
        <v>0</v>
      </c>
      <c r="M316" t="inlineStr">
        <is>
          <t>AVOID</t>
        </is>
      </c>
    </row>
    <row r="317">
      <c r="A317" t="inlineStr">
        <is>
          <t>HALO</t>
        </is>
      </c>
      <c r="B317" t="inlineStr">
        <is>
          <t>2026-07-30</t>
        </is>
      </c>
      <c r="C317" t="n">
        <v>83.09999999999999</v>
      </c>
      <c r="D317" t="n">
        <v>75</v>
      </c>
      <c r="E317" t="n">
        <v>0.54</v>
      </c>
      <c r="F317" t="n">
        <v>30.54</v>
      </c>
      <c r="G317" t="n">
        <v>-0.42</v>
      </c>
      <c r="H317" t="n">
        <v>60</v>
      </c>
      <c r="I317" t="n">
        <v>45</v>
      </c>
      <c r="J317" t="n">
        <v>100</v>
      </c>
      <c r="K317" t="b">
        <v>0</v>
      </c>
      <c r="L317" t="b">
        <v>0</v>
      </c>
      <c r="M317" t="inlineStr">
        <is>
          <t>HIGH CONVICTION</t>
        </is>
      </c>
    </row>
    <row r="318">
      <c r="A318" t="inlineStr">
        <is>
          <t>HAS</t>
        </is>
      </c>
      <c r="B318" t="inlineStr">
        <is>
          <t>2026-07-30</t>
        </is>
      </c>
      <c r="C318" t="n">
        <v>94.11</v>
      </c>
      <c r="D318" t="n">
        <v>78.81</v>
      </c>
      <c r="E318" t="n">
        <v>0.23</v>
      </c>
      <c r="F318" t="n">
        <v>-1</v>
      </c>
      <c r="G318" t="n">
        <v>-9.82</v>
      </c>
      <c r="H318" t="n">
        <v>40</v>
      </c>
      <c r="I318" t="n">
        <v>45</v>
      </c>
      <c r="J318" t="n">
        <v>50</v>
      </c>
      <c r="K318" t="b">
        <v>0</v>
      </c>
      <c r="L318" t="b">
        <v>0</v>
      </c>
      <c r="M318" t="inlineStr">
        <is>
          <t>AVOID</t>
        </is>
      </c>
    </row>
    <row r="319">
      <c r="A319" t="inlineStr">
        <is>
          <t>HBAN</t>
        </is>
      </c>
      <c r="B319" t="inlineStr">
        <is>
          <t>2026-07-30</t>
        </is>
      </c>
      <c r="C319" t="n">
        <v>17.08</v>
      </c>
      <c r="D319" t="n">
        <v>38.75</v>
      </c>
      <c r="E319" t="n">
        <v>0.59</v>
      </c>
      <c r="F319" t="n">
        <v>2.83</v>
      </c>
      <c r="G319" t="n">
        <v>-9.65</v>
      </c>
      <c r="H319" t="n">
        <v>35</v>
      </c>
      <c r="I319" t="n">
        <v>25</v>
      </c>
      <c r="J319" t="n">
        <v>45</v>
      </c>
      <c r="K319" t="b">
        <v>0</v>
      </c>
      <c r="L319" t="b">
        <v>0</v>
      </c>
      <c r="M319" t="inlineStr">
        <is>
          <t>AVOID</t>
        </is>
      </c>
    </row>
    <row r="320">
      <c r="A320" t="inlineStr">
        <is>
          <t>HBNC</t>
        </is>
      </c>
      <c r="B320" t="inlineStr">
        <is>
          <t>2026-07-30</t>
        </is>
      </c>
      <c r="C320" t="n">
        <v>20.66</v>
      </c>
      <c r="D320" t="n">
        <v>68.76000000000001</v>
      </c>
      <c r="E320" t="n">
        <v>0.39</v>
      </c>
      <c r="F320" t="n">
        <v>15.01</v>
      </c>
      <c r="G320" t="n">
        <v>-0.27</v>
      </c>
      <c r="H320" t="n">
        <v>60</v>
      </c>
      <c r="I320" t="n">
        <v>60</v>
      </c>
      <c r="J320" t="n">
        <v>100</v>
      </c>
      <c r="K320" t="b">
        <v>0</v>
      </c>
      <c r="L320" t="b">
        <v>0</v>
      </c>
      <c r="M320" t="inlineStr">
        <is>
          <t>HIGH CONVICTION</t>
        </is>
      </c>
    </row>
    <row r="321">
      <c r="A321" t="inlineStr">
        <is>
          <t>HCAT</t>
        </is>
      </c>
      <c r="B321" t="inlineStr">
        <is>
          <t>2026-07-30</t>
        </is>
      </c>
      <c r="C321" t="n">
        <v>2.1</v>
      </c>
      <c r="D321" t="n">
        <v>33.61</v>
      </c>
      <c r="E321" t="n">
        <v>0.47</v>
      </c>
      <c r="F321" t="n">
        <v>67.59999999999999</v>
      </c>
      <c r="G321" t="n">
        <v>-45.16</v>
      </c>
      <c r="H321" t="n">
        <v>35</v>
      </c>
      <c r="I321" t="n">
        <v>45</v>
      </c>
      <c r="J321" t="n">
        <v>75</v>
      </c>
      <c r="K321" t="b">
        <v>0</v>
      </c>
      <c r="L321" t="b">
        <v>0</v>
      </c>
      <c r="M321" t="inlineStr">
        <is>
          <t>AVOID</t>
        </is>
      </c>
    </row>
    <row r="322">
      <c r="A322" t="inlineStr">
        <is>
          <t>HCKT</t>
        </is>
      </c>
      <c r="B322" t="inlineStr">
        <is>
          <t>2026-07-30</t>
        </is>
      </c>
      <c r="C322" t="n">
        <v>10.56</v>
      </c>
      <c r="D322" t="n">
        <v>54.4</v>
      </c>
      <c r="E322" t="n">
        <v>0.49</v>
      </c>
      <c r="F322" t="n">
        <v>-17.25</v>
      </c>
      <c r="G322" t="n">
        <v>-53.36</v>
      </c>
      <c r="H322" t="n">
        <v>15</v>
      </c>
      <c r="I322" t="n">
        <v>40</v>
      </c>
      <c r="J322" t="n">
        <v>15</v>
      </c>
      <c r="K322" t="b">
        <v>0</v>
      </c>
      <c r="L322" t="b">
        <v>0</v>
      </c>
      <c r="M322" t="inlineStr">
        <is>
          <t>AVOID</t>
        </is>
      </c>
    </row>
    <row r="323">
      <c r="A323" t="inlineStr">
        <is>
          <t>HCSG</t>
        </is>
      </c>
      <c r="B323" t="inlineStr">
        <is>
          <t>2026-07-30</t>
        </is>
      </c>
      <c r="C323" t="n">
        <v>23.11</v>
      </c>
      <c r="D323" t="n">
        <v>44.79</v>
      </c>
      <c r="E323" t="n">
        <v>0.5</v>
      </c>
      <c r="F323" t="n">
        <v>7.96</v>
      </c>
      <c r="G323" t="n">
        <v>-8.67</v>
      </c>
      <c r="H323" t="n">
        <v>45</v>
      </c>
      <c r="I323" t="n">
        <v>45</v>
      </c>
      <c r="J323" t="n">
        <v>55</v>
      </c>
      <c r="K323" t="b">
        <v>0</v>
      </c>
      <c r="L323" t="b">
        <v>0</v>
      </c>
      <c r="M323" t="inlineStr">
        <is>
          <t>AVOID</t>
        </is>
      </c>
    </row>
    <row r="324">
      <c r="A324" t="inlineStr">
        <is>
          <t>HELE</t>
        </is>
      </c>
      <c r="B324" t="inlineStr">
        <is>
          <t>2026-07-30</t>
        </is>
      </c>
      <c r="C324" t="n">
        <v>27.77</v>
      </c>
      <c r="D324" t="n">
        <v>56.83</v>
      </c>
      <c r="E324" t="n">
        <v>0.28</v>
      </c>
      <c r="F324" t="n">
        <v>19.98</v>
      </c>
      <c r="G324" t="n">
        <v>-6.98</v>
      </c>
      <c r="H324" t="n">
        <v>60</v>
      </c>
      <c r="I324" t="n">
        <v>85</v>
      </c>
      <c r="J324" t="n">
        <v>80</v>
      </c>
      <c r="K324" t="b">
        <v>0</v>
      </c>
      <c r="L324" t="b">
        <v>0</v>
      </c>
      <c r="M324" t="inlineStr">
        <is>
          <t>AVOID</t>
        </is>
      </c>
    </row>
    <row r="325">
      <c r="A325" t="inlineStr">
        <is>
          <t>HFWA</t>
        </is>
      </c>
      <c r="B325" t="inlineStr">
        <is>
          <t>2026-07-30</t>
        </is>
      </c>
      <c r="C325" t="n">
        <v>29.71</v>
      </c>
      <c r="D325" t="n">
        <v>53.41</v>
      </c>
      <c r="E325" t="n">
        <v>0.59</v>
      </c>
      <c r="F325" t="n">
        <v>8.91</v>
      </c>
      <c r="G325" t="n">
        <v>-4.93</v>
      </c>
      <c r="H325" t="n">
        <v>50</v>
      </c>
      <c r="I325" t="n">
        <v>85</v>
      </c>
      <c r="J325" t="n">
        <v>70</v>
      </c>
      <c r="K325" t="b">
        <v>0</v>
      </c>
      <c r="L325" t="b">
        <v>0</v>
      </c>
      <c r="M325" t="inlineStr">
        <is>
          <t>AVOID</t>
        </is>
      </c>
    </row>
    <row r="326">
      <c r="A326" t="inlineStr">
        <is>
          <t>HLNE</t>
        </is>
      </c>
      <c r="B326" t="inlineStr">
        <is>
          <t>2026-07-30</t>
        </is>
      </c>
      <c r="C326" t="n">
        <v>89.42</v>
      </c>
      <c r="D326" t="n">
        <v>71.28</v>
      </c>
      <c r="E326" t="n">
        <v>0.72</v>
      </c>
      <c r="F326" t="n">
        <v>-2.07</v>
      </c>
      <c r="G326" t="n">
        <v>-43.27</v>
      </c>
      <c r="H326" t="n">
        <v>35</v>
      </c>
      <c r="I326" t="n">
        <v>20</v>
      </c>
      <c r="J326" t="n">
        <v>35</v>
      </c>
      <c r="K326" t="b">
        <v>0</v>
      </c>
      <c r="L326" t="b">
        <v>0</v>
      </c>
      <c r="M326" t="inlineStr">
        <is>
          <t>AVOID</t>
        </is>
      </c>
    </row>
    <row r="327">
      <c r="A327" t="inlineStr">
        <is>
          <t>HOMB</t>
        </is>
      </c>
      <c r="B327" t="inlineStr">
        <is>
          <t>2026-07-30</t>
        </is>
      </c>
      <c r="C327" t="n">
        <v>31.29</v>
      </c>
      <c r="D327" t="n">
        <v>81.42</v>
      </c>
      <c r="E327" t="n">
        <v>0.39</v>
      </c>
      <c r="F327" t="n">
        <v>17.39</v>
      </c>
      <c r="G327" t="n">
        <v>-0.6</v>
      </c>
      <c r="H327" t="n">
        <v>60</v>
      </c>
      <c r="I327" t="n">
        <v>45</v>
      </c>
      <c r="J327" t="n">
        <v>100</v>
      </c>
      <c r="K327" t="b">
        <v>0</v>
      </c>
      <c r="L327" t="b">
        <v>0</v>
      </c>
      <c r="M327" t="inlineStr">
        <is>
          <t>HIGH CONVICTION</t>
        </is>
      </c>
    </row>
    <row r="328">
      <c r="A328" t="inlineStr">
        <is>
          <t>HOPE</t>
        </is>
      </c>
      <c r="B328" t="inlineStr">
        <is>
          <t>2026-07-30</t>
        </is>
      </c>
      <c r="C328" t="n">
        <v>13.98</v>
      </c>
      <c r="D328" t="n">
        <v>61.95</v>
      </c>
      <c r="E328" t="n">
        <v>0.43</v>
      </c>
      <c r="F328" t="n">
        <v>13.56</v>
      </c>
      <c r="G328" t="n">
        <v>-0.99</v>
      </c>
      <c r="H328" t="n">
        <v>60</v>
      </c>
      <c r="I328" t="n">
        <v>85</v>
      </c>
      <c r="J328" t="n">
        <v>100</v>
      </c>
      <c r="K328" t="b">
        <v>0</v>
      </c>
      <c r="L328" t="b">
        <v>0</v>
      </c>
      <c r="M328" t="inlineStr">
        <is>
          <t>HIGH CONVICTION</t>
        </is>
      </c>
    </row>
    <row r="329">
      <c r="A329" t="inlineStr">
        <is>
          <t>HPK</t>
        </is>
      </c>
      <c r="B329" t="inlineStr">
        <is>
          <t>2026-07-30</t>
        </is>
      </c>
      <c r="C329" t="n">
        <v>6.57</v>
      </c>
      <c r="D329" t="n">
        <v>43.43</v>
      </c>
      <c r="E329" t="n">
        <v>0.43</v>
      </c>
      <c r="F329" t="n">
        <v>-3.1</v>
      </c>
      <c r="G329" t="n">
        <v>-34.28</v>
      </c>
      <c r="H329" t="n">
        <v>25</v>
      </c>
      <c r="I329" t="n">
        <v>25</v>
      </c>
      <c r="J329" t="n">
        <v>25</v>
      </c>
      <c r="K329" t="b">
        <v>0</v>
      </c>
      <c r="L329" t="b">
        <v>0</v>
      </c>
      <c r="M329" t="inlineStr">
        <is>
          <t>AVOID</t>
        </is>
      </c>
    </row>
    <row r="330">
      <c r="A330" t="inlineStr">
        <is>
          <t>HQY</t>
        </is>
      </c>
      <c r="B330" t="inlineStr">
        <is>
          <t>2026-07-30</t>
        </is>
      </c>
      <c r="C330" t="n">
        <v>101.06</v>
      </c>
      <c r="D330" t="n">
        <v>62.68</v>
      </c>
      <c r="E330" t="n">
        <v>0.46</v>
      </c>
      <c r="F330" t="n">
        <v>23.2</v>
      </c>
      <c r="G330" t="n">
        <v>-4.15</v>
      </c>
      <c r="H330" t="n">
        <v>60</v>
      </c>
      <c r="I330" t="n">
        <v>70</v>
      </c>
      <c r="J330" t="n">
        <v>100</v>
      </c>
      <c r="K330" t="b">
        <v>0</v>
      </c>
      <c r="L330" t="b">
        <v>0</v>
      </c>
      <c r="M330" t="inlineStr">
        <is>
          <t>HIGH CONVICTION</t>
        </is>
      </c>
    </row>
    <row r="331">
      <c r="A331" t="inlineStr">
        <is>
          <t>HRMY</t>
        </is>
      </c>
      <c r="B331" t="inlineStr">
        <is>
          <t>2026-07-30</t>
        </is>
      </c>
      <c r="C331" t="n">
        <v>35.29</v>
      </c>
      <c r="D331" t="n">
        <v>43.73</v>
      </c>
      <c r="E331" t="n">
        <v>0.25</v>
      </c>
      <c r="F331" t="n">
        <v>12.91</v>
      </c>
      <c r="G331" t="n">
        <v>-12.87</v>
      </c>
      <c r="H331" t="n">
        <v>45</v>
      </c>
      <c r="I331" t="n">
        <v>60</v>
      </c>
      <c r="J331" t="n">
        <v>55</v>
      </c>
      <c r="K331" t="b">
        <v>0</v>
      </c>
      <c r="L331" t="b">
        <v>0</v>
      </c>
      <c r="M331" t="inlineStr">
        <is>
          <t>AVOID</t>
        </is>
      </c>
    </row>
    <row r="332">
      <c r="A332" t="inlineStr">
        <is>
          <t>HRTX</t>
        </is>
      </c>
      <c r="B332" t="inlineStr">
        <is>
          <t>2026-07-30</t>
        </is>
      </c>
      <c r="C332" t="n">
        <v>0.5</v>
      </c>
      <c r="D332" t="n">
        <v>80.52</v>
      </c>
      <c r="E332" t="n">
        <v>0.27</v>
      </c>
      <c r="F332" t="n">
        <v>-58</v>
      </c>
      <c r="G332" t="n">
        <v>-72.61</v>
      </c>
      <c r="H332" t="n">
        <v>15</v>
      </c>
      <c r="I332" t="n">
        <v>0</v>
      </c>
      <c r="J332" t="n">
        <v>15</v>
      </c>
      <c r="K332" t="b">
        <v>0</v>
      </c>
      <c r="L332" t="b">
        <v>0</v>
      </c>
      <c r="M332" t="inlineStr">
        <is>
          <t>AVOID</t>
        </is>
      </c>
    </row>
    <row r="333">
      <c r="A333" t="inlineStr">
        <is>
          <t>HSIC</t>
        </is>
      </c>
      <c r="B333" t="inlineStr">
        <is>
          <t>2026-07-30</t>
        </is>
      </c>
      <c r="C333" t="n">
        <v>84.84999999999999</v>
      </c>
      <c r="D333" t="n">
        <v>51.94</v>
      </c>
      <c r="E333" t="n">
        <v>0.41</v>
      </c>
      <c r="F333" t="n">
        <v>13.76</v>
      </c>
      <c r="G333" t="n">
        <v>-3.86</v>
      </c>
      <c r="H333" t="n">
        <v>50</v>
      </c>
      <c r="I333" t="n">
        <v>85</v>
      </c>
      <c r="J333" t="n">
        <v>80</v>
      </c>
      <c r="K333" t="b">
        <v>0</v>
      </c>
      <c r="L333" t="b">
        <v>0</v>
      </c>
      <c r="M333" t="inlineStr">
        <is>
          <t>AVOID</t>
        </is>
      </c>
    </row>
    <row r="334">
      <c r="A334" t="inlineStr">
        <is>
          <t>HST</t>
        </is>
      </c>
      <c r="B334" t="inlineStr">
        <is>
          <t>2026-07-30</t>
        </is>
      </c>
      <c r="C334" t="n">
        <v>24.93</v>
      </c>
      <c r="D334" t="n">
        <v>69.39</v>
      </c>
      <c r="E334" t="n">
        <v>0.42</v>
      </c>
      <c r="F334" t="n">
        <v>22.53</v>
      </c>
      <c r="G334" t="n">
        <v>-2.37</v>
      </c>
      <c r="H334" t="n">
        <v>60</v>
      </c>
      <c r="I334" t="n">
        <v>45</v>
      </c>
      <c r="J334" t="n">
        <v>100</v>
      </c>
      <c r="K334" t="b">
        <v>0</v>
      </c>
      <c r="L334" t="b">
        <v>0</v>
      </c>
      <c r="M334" t="inlineStr">
        <is>
          <t>HIGH CONVICTION</t>
        </is>
      </c>
    </row>
    <row r="335">
      <c r="A335" t="inlineStr">
        <is>
          <t>HTHT</t>
        </is>
      </c>
      <c r="B335" t="inlineStr">
        <is>
          <t>2026-07-30</t>
        </is>
      </c>
      <c r="C335" t="n">
        <v>42.23</v>
      </c>
      <c r="D335" t="n">
        <v>56.03</v>
      </c>
      <c r="E335" t="n">
        <v>0.64</v>
      </c>
      <c r="F335" t="n">
        <v>-16.08</v>
      </c>
      <c r="G335" t="n">
        <v>-22.7</v>
      </c>
      <c r="H335" t="n">
        <v>15</v>
      </c>
      <c r="I335" t="n">
        <v>40</v>
      </c>
      <c r="J335" t="n">
        <v>15</v>
      </c>
      <c r="K335" t="b">
        <v>0</v>
      </c>
      <c r="L335" t="b">
        <v>0</v>
      </c>
      <c r="M335" t="inlineStr">
        <is>
          <t>AVOID</t>
        </is>
      </c>
    </row>
    <row r="336">
      <c r="A336" t="inlineStr">
        <is>
          <t>HTLD</t>
        </is>
      </c>
      <c r="B336" t="inlineStr">
        <is>
          <t>2026-07-30</t>
        </is>
      </c>
      <c r="C336" t="n">
        <v>12.64</v>
      </c>
      <c r="D336" t="n">
        <v>27.69</v>
      </c>
      <c r="E336" t="n">
        <v>0.75</v>
      </c>
      <c r="F336" t="n">
        <v>-5.4</v>
      </c>
      <c r="G336" t="n">
        <v>-21.97</v>
      </c>
      <c r="H336" t="n">
        <v>25</v>
      </c>
      <c r="I336" t="n">
        <v>25</v>
      </c>
      <c r="J336" t="n">
        <v>25</v>
      </c>
      <c r="K336" t="b">
        <v>0</v>
      </c>
      <c r="L336" t="b">
        <v>0</v>
      </c>
      <c r="M336" t="inlineStr">
        <is>
          <t>AVOID</t>
        </is>
      </c>
    </row>
    <row r="337">
      <c r="A337" t="inlineStr">
        <is>
          <t>HUBG</t>
        </is>
      </c>
      <c r="B337" t="inlineStr">
        <is>
          <t>2026-07-30</t>
        </is>
      </c>
      <c r="C337" t="n">
        <v>45.05</v>
      </c>
      <c r="D337" t="n">
        <v>45.81</v>
      </c>
      <c r="E337" t="n">
        <v>1.43</v>
      </c>
      <c r="F337" t="n">
        <v>3.08</v>
      </c>
      <c r="G337" t="n">
        <v>-13.68</v>
      </c>
      <c r="H337" t="n">
        <v>35</v>
      </c>
      <c r="I337" t="n">
        <v>65</v>
      </c>
      <c r="J337" t="n">
        <v>45</v>
      </c>
      <c r="K337" t="b">
        <v>0</v>
      </c>
      <c r="L337" t="b">
        <v>0</v>
      </c>
      <c r="M337" t="inlineStr">
        <is>
          <t>AVOID</t>
        </is>
      </c>
    </row>
    <row r="338">
      <c r="A338" t="inlineStr">
        <is>
          <t>HURN</t>
        </is>
      </c>
      <c r="B338" t="inlineStr">
        <is>
          <t>2026-07-30</t>
        </is>
      </c>
      <c r="C338" t="n">
        <v>162</v>
      </c>
      <c r="D338" t="n">
        <v>79.13</v>
      </c>
      <c r="E338" t="n">
        <v>2.06</v>
      </c>
      <c r="F338" t="n">
        <v>23.98</v>
      </c>
      <c r="G338" t="n">
        <v>-12.71</v>
      </c>
      <c r="H338" t="n">
        <v>50</v>
      </c>
      <c r="I338" t="n">
        <v>60</v>
      </c>
      <c r="J338" t="n">
        <v>100</v>
      </c>
      <c r="K338" t="b">
        <v>0</v>
      </c>
      <c r="L338" t="b">
        <v>0</v>
      </c>
      <c r="M338" t="inlineStr">
        <is>
          <t>HIGH CONVICTION</t>
        </is>
      </c>
    </row>
    <row r="339">
      <c r="A339" t="inlineStr">
        <is>
          <t>HWC</t>
        </is>
      </c>
      <c r="B339" t="inlineStr">
        <is>
          <t>2026-07-30</t>
        </is>
      </c>
      <c r="C339" t="n">
        <v>76.88</v>
      </c>
      <c r="D339" t="n">
        <v>57.27</v>
      </c>
      <c r="E339" t="n">
        <v>0.37</v>
      </c>
      <c r="F339" t="n">
        <v>14.71</v>
      </c>
      <c r="G339" t="n">
        <v>-2.88</v>
      </c>
      <c r="H339" t="n">
        <v>60</v>
      </c>
      <c r="I339" t="n">
        <v>85</v>
      </c>
      <c r="J339" t="n">
        <v>90</v>
      </c>
      <c r="K339" t="b">
        <v>0</v>
      </c>
      <c r="L339" t="b">
        <v>0</v>
      </c>
      <c r="M339" t="inlineStr">
        <is>
          <t>WATCH</t>
        </is>
      </c>
    </row>
    <row r="340">
      <c r="A340" t="inlineStr">
        <is>
          <t>IART</t>
        </is>
      </c>
      <c r="B340" t="inlineStr">
        <is>
          <t>2026-07-30</t>
        </is>
      </c>
      <c r="C340" t="n">
        <v>17.22</v>
      </c>
      <c r="D340" t="n">
        <v>41.33</v>
      </c>
      <c r="E340" t="n">
        <v>0.96</v>
      </c>
      <c r="F340" t="n">
        <v>63.33</v>
      </c>
      <c r="G340" t="n">
        <v>-13.27</v>
      </c>
      <c r="H340" t="n">
        <v>35</v>
      </c>
      <c r="I340" t="n">
        <v>25</v>
      </c>
      <c r="J340" t="n">
        <v>75</v>
      </c>
      <c r="K340" t="b">
        <v>0</v>
      </c>
      <c r="L340" t="b">
        <v>0</v>
      </c>
      <c r="M340" t="inlineStr">
        <is>
          <t>AVOID</t>
        </is>
      </c>
    </row>
    <row r="341">
      <c r="A341" t="inlineStr">
        <is>
          <t>IBKR</t>
        </is>
      </c>
      <c r="B341" t="inlineStr">
        <is>
          <t>2026-07-30</t>
        </is>
      </c>
      <c r="C341" t="n">
        <v>90.34999999999999</v>
      </c>
      <c r="D341" t="n">
        <v>43.43</v>
      </c>
      <c r="E341" t="n">
        <v>0.74</v>
      </c>
      <c r="F341" t="n">
        <v>13.76</v>
      </c>
      <c r="G341" t="n">
        <v>-7.25</v>
      </c>
      <c r="H341" t="n">
        <v>45</v>
      </c>
      <c r="I341" t="n">
        <v>60</v>
      </c>
      <c r="J341" t="n">
        <v>65</v>
      </c>
      <c r="K341" t="b">
        <v>0</v>
      </c>
      <c r="L341" t="b">
        <v>0</v>
      </c>
      <c r="M341" t="inlineStr">
        <is>
          <t>AVOID</t>
        </is>
      </c>
    </row>
    <row r="342">
      <c r="A342" t="inlineStr">
        <is>
          <t>ICHR</t>
        </is>
      </c>
      <c r="B342" t="inlineStr">
        <is>
          <t>2026-07-30</t>
        </is>
      </c>
      <c r="C342" t="n">
        <v>74.31999999999999</v>
      </c>
      <c r="D342" t="n">
        <v>34.71</v>
      </c>
      <c r="E342" t="n">
        <v>0.58</v>
      </c>
      <c r="F342" t="n">
        <v>12.66</v>
      </c>
      <c r="G342" t="n">
        <v>-33.81</v>
      </c>
      <c r="H342" t="n">
        <v>35</v>
      </c>
      <c r="I342" t="n">
        <v>25</v>
      </c>
      <c r="J342" t="n">
        <v>45</v>
      </c>
      <c r="K342" t="b">
        <v>0</v>
      </c>
      <c r="L342" t="b">
        <v>0</v>
      </c>
      <c r="M342" t="inlineStr">
        <is>
          <t>AVOID</t>
        </is>
      </c>
    </row>
    <row r="343">
      <c r="A343" t="inlineStr">
        <is>
          <t>ICLR</t>
        </is>
      </c>
      <c r="B343" t="inlineStr">
        <is>
          <t>2026-07-30</t>
        </is>
      </c>
      <c r="C343" t="n">
        <v>166.35</v>
      </c>
      <c r="D343" t="n">
        <v>48.65</v>
      </c>
      <c r="E343" t="n">
        <v>1.63</v>
      </c>
      <c r="F343" t="n">
        <v>40.58</v>
      </c>
      <c r="G343" t="n">
        <v>-18.02</v>
      </c>
      <c r="H343" t="n">
        <v>45</v>
      </c>
      <c r="I343" t="n">
        <v>100</v>
      </c>
      <c r="J343" t="n">
        <v>95</v>
      </c>
      <c r="K343" t="b">
        <v>0</v>
      </c>
      <c r="L343" t="b">
        <v>0</v>
      </c>
      <c r="M343" t="inlineStr">
        <is>
          <t>HIGH CONVICTION</t>
        </is>
      </c>
    </row>
    <row r="344">
      <c r="A344" t="inlineStr">
        <is>
          <t>IDXX</t>
        </is>
      </c>
      <c r="B344" t="inlineStr">
        <is>
          <t>2026-07-30</t>
        </is>
      </c>
      <c r="C344" t="n">
        <v>558.01</v>
      </c>
      <c r="D344" t="n">
        <v>47.99</v>
      </c>
      <c r="E344" t="n">
        <v>0.35</v>
      </c>
      <c r="F344" t="n">
        <v>-0.5</v>
      </c>
      <c r="G344" t="n">
        <v>-27.22</v>
      </c>
      <c r="H344" t="n">
        <v>20</v>
      </c>
      <c r="I344" t="n">
        <v>60</v>
      </c>
      <c r="J344" t="n">
        <v>20</v>
      </c>
      <c r="K344" t="b">
        <v>0</v>
      </c>
      <c r="L344" t="b">
        <v>0</v>
      </c>
      <c r="M344" t="inlineStr">
        <is>
          <t>AVOID</t>
        </is>
      </c>
    </row>
    <row r="345">
      <c r="A345" t="inlineStr">
        <is>
          <t>IDYA</t>
        </is>
      </c>
      <c r="B345" t="inlineStr">
        <is>
          <t>2026-07-30</t>
        </is>
      </c>
      <c r="C345" t="n">
        <v>35.87</v>
      </c>
      <c r="D345" t="n">
        <v>43.98</v>
      </c>
      <c r="E345" t="n">
        <v>0.36</v>
      </c>
      <c r="F345" t="n">
        <v>23.26</v>
      </c>
      <c r="G345" t="n">
        <v>-11.45</v>
      </c>
      <c r="H345" t="n">
        <v>45</v>
      </c>
      <c r="I345" t="n">
        <v>60</v>
      </c>
      <c r="J345" t="n">
        <v>65</v>
      </c>
      <c r="K345" t="b">
        <v>0</v>
      </c>
      <c r="L345" t="b">
        <v>0</v>
      </c>
      <c r="M345" t="inlineStr">
        <is>
          <t>AVOID</t>
        </is>
      </c>
    </row>
    <row r="346">
      <c r="A346" t="inlineStr">
        <is>
          <t>IEP</t>
        </is>
      </c>
      <c r="B346" t="inlineStr">
        <is>
          <t>2026-07-30</t>
        </is>
      </c>
      <c r="C346" t="n">
        <v>7.74</v>
      </c>
      <c r="D346" t="n">
        <v>60.54</v>
      </c>
      <c r="E346" t="n">
        <v>0.67</v>
      </c>
      <c r="F346" t="n">
        <v>-0.38</v>
      </c>
      <c r="G346" t="n">
        <v>-1.45</v>
      </c>
      <c r="H346" t="n">
        <v>60</v>
      </c>
      <c r="I346" t="n">
        <v>85</v>
      </c>
      <c r="J346" t="n">
        <v>90</v>
      </c>
      <c r="K346" t="b">
        <v>0</v>
      </c>
      <c r="L346" t="b">
        <v>0</v>
      </c>
      <c r="M346" t="inlineStr">
        <is>
          <t>WATCH</t>
        </is>
      </c>
    </row>
    <row r="347">
      <c r="A347" t="inlineStr">
        <is>
          <t>IHRT</t>
        </is>
      </c>
      <c r="B347" t="inlineStr">
        <is>
          <t>2026-07-30</t>
        </is>
      </c>
      <c r="C347" t="n">
        <v>3.46</v>
      </c>
      <c r="D347" t="n">
        <v>25.74</v>
      </c>
      <c r="E347" t="n">
        <v>0.5</v>
      </c>
      <c r="F347" t="n">
        <v>-42.04</v>
      </c>
      <c r="G347" t="n">
        <v>-45.34</v>
      </c>
      <c r="H347" t="n">
        <v>10</v>
      </c>
      <c r="I347" t="n">
        <v>0</v>
      </c>
      <c r="J347" t="n">
        <v>10</v>
      </c>
      <c r="K347" t="b">
        <v>0</v>
      </c>
      <c r="L347" t="b">
        <v>0</v>
      </c>
      <c r="M347" t="inlineStr">
        <is>
          <t>AVOID</t>
        </is>
      </c>
    </row>
    <row r="348">
      <c r="A348" t="inlineStr">
        <is>
          <t>ILMN</t>
        </is>
      </c>
      <c r="B348" t="inlineStr">
        <is>
          <t>2026-07-30</t>
        </is>
      </c>
      <c r="C348" t="n">
        <v>201.46</v>
      </c>
      <c r="D348" t="n">
        <v>61.51</v>
      </c>
      <c r="E348" t="n">
        <v>0.9</v>
      </c>
      <c r="F348" t="n">
        <v>58.96</v>
      </c>
      <c r="G348" t="n">
        <v>0</v>
      </c>
      <c r="H348" t="n">
        <v>60</v>
      </c>
      <c r="I348" t="n">
        <v>70</v>
      </c>
      <c r="J348" t="n">
        <v>100</v>
      </c>
      <c r="K348" t="b">
        <v>1</v>
      </c>
      <c r="L348" t="b">
        <v>0</v>
      </c>
      <c r="M348" t="inlineStr">
        <is>
          <t>ELITE LEADER</t>
        </is>
      </c>
    </row>
    <row r="349">
      <c r="A349" t="inlineStr">
        <is>
          <t>ILPT</t>
        </is>
      </c>
      <c r="B349" t="inlineStr">
        <is>
          <t>2026-07-30</t>
        </is>
      </c>
      <c r="C349" t="n">
        <v>8.48</v>
      </c>
      <c r="D349" t="n">
        <v>41.6</v>
      </c>
      <c r="E349" t="n">
        <v>0.66</v>
      </c>
      <c r="F349" t="n">
        <v>15.43</v>
      </c>
      <c r="G349" t="n">
        <v>-8.369999999999999</v>
      </c>
      <c r="H349" t="n">
        <v>35</v>
      </c>
      <c r="I349" t="n">
        <v>25</v>
      </c>
      <c r="J349" t="n">
        <v>55</v>
      </c>
      <c r="K349" t="b">
        <v>0</v>
      </c>
      <c r="L349" t="b">
        <v>0</v>
      </c>
      <c r="M349" t="inlineStr">
        <is>
          <t>AVOID</t>
        </is>
      </c>
    </row>
    <row r="350">
      <c r="A350" t="inlineStr">
        <is>
          <t>IMMR</t>
        </is>
      </c>
      <c r="B350" t="inlineStr">
        <is>
          <t>2026-07-30</t>
        </is>
      </c>
      <c r="C350" t="n">
        <v>7.49</v>
      </c>
      <c r="D350" t="n">
        <v>66.78</v>
      </c>
      <c r="E350" t="n">
        <v>0.5600000000000001</v>
      </c>
      <c r="F350" t="n">
        <v>23.66</v>
      </c>
      <c r="G350" t="n">
        <v>-3.17</v>
      </c>
      <c r="H350" t="n">
        <v>60</v>
      </c>
      <c r="I350" t="n">
        <v>45</v>
      </c>
      <c r="J350" t="n">
        <v>100</v>
      </c>
      <c r="K350" t="b">
        <v>0</v>
      </c>
      <c r="L350" t="b">
        <v>0</v>
      </c>
      <c r="M350" t="inlineStr">
        <is>
          <t>HIGH CONVICTION</t>
        </is>
      </c>
    </row>
    <row r="351">
      <c r="A351" t="inlineStr">
        <is>
          <t>IMTX</t>
        </is>
      </c>
      <c r="B351" t="inlineStr">
        <is>
          <t>2026-07-30</t>
        </is>
      </c>
      <c r="C351" t="n">
        <v>9.15</v>
      </c>
      <c r="D351" t="n">
        <v>41.25</v>
      </c>
      <c r="E351" t="n">
        <v>3.16</v>
      </c>
      <c r="F351" t="n">
        <v>-16.74</v>
      </c>
      <c r="G351" t="n">
        <v>-22.91</v>
      </c>
      <c r="H351" t="n">
        <v>0</v>
      </c>
      <c r="I351" t="n">
        <v>30</v>
      </c>
      <c r="J351" t="n">
        <v>30</v>
      </c>
      <c r="K351" t="b">
        <v>0</v>
      </c>
      <c r="L351" t="b">
        <v>0</v>
      </c>
      <c r="M351" t="inlineStr">
        <is>
          <t>AVOID</t>
        </is>
      </c>
    </row>
    <row r="352">
      <c r="A352" t="inlineStr">
        <is>
          <t>IMVT</t>
        </is>
      </c>
      <c r="B352" t="inlineStr">
        <is>
          <t>2026-07-30</t>
        </is>
      </c>
      <c r="C352" t="n">
        <v>38.98</v>
      </c>
      <c r="D352" t="n">
        <v>45.71</v>
      </c>
      <c r="E352" t="n">
        <v>0.29</v>
      </c>
      <c r="F352" t="n">
        <v>43.6</v>
      </c>
      <c r="G352" t="n">
        <v>-5.14</v>
      </c>
      <c r="H352" t="n">
        <v>45</v>
      </c>
      <c r="I352" t="n">
        <v>85</v>
      </c>
      <c r="J352" t="n">
        <v>85</v>
      </c>
      <c r="K352" t="b">
        <v>0</v>
      </c>
      <c r="L352" t="b">
        <v>0</v>
      </c>
      <c r="M352" t="inlineStr">
        <is>
          <t>WATCH</t>
        </is>
      </c>
    </row>
    <row r="353">
      <c r="A353" t="inlineStr">
        <is>
          <t>INCY</t>
        </is>
      </c>
      <c r="B353" t="inlineStr">
        <is>
          <t>2026-07-30</t>
        </is>
      </c>
      <c r="C353" t="n">
        <v>123.33</v>
      </c>
      <c r="D353" t="n">
        <v>60.63</v>
      </c>
      <c r="E353" t="n">
        <v>0.73</v>
      </c>
      <c r="F353" t="n">
        <v>29.46</v>
      </c>
      <c r="G353" t="n">
        <v>-5.08</v>
      </c>
      <c r="H353" t="n">
        <v>60</v>
      </c>
      <c r="I353" t="n">
        <v>70</v>
      </c>
      <c r="J353" t="n">
        <v>90</v>
      </c>
      <c r="K353" t="b">
        <v>0</v>
      </c>
      <c r="L353" t="b">
        <v>0</v>
      </c>
      <c r="M353" t="inlineStr">
        <is>
          <t>WATCH</t>
        </is>
      </c>
    </row>
    <row r="354">
      <c r="A354" t="inlineStr">
        <is>
          <t>INDB</t>
        </is>
      </c>
      <c r="B354" t="inlineStr">
        <is>
          <t>2026-07-30</t>
        </is>
      </c>
      <c r="C354" t="n">
        <v>84.88</v>
      </c>
      <c r="D354" t="n">
        <v>55.12</v>
      </c>
      <c r="E354" t="n">
        <v>0.7</v>
      </c>
      <c r="F354" t="n">
        <v>9.65</v>
      </c>
      <c r="G354" t="n">
        <v>-2.63</v>
      </c>
      <c r="H354" t="n">
        <v>60</v>
      </c>
      <c r="I354" t="n">
        <v>85</v>
      </c>
      <c r="J354" t="n">
        <v>80</v>
      </c>
      <c r="K354" t="b">
        <v>0</v>
      </c>
      <c r="L354" t="b">
        <v>0</v>
      </c>
      <c r="M354" t="inlineStr">
        <is>
          <t>AVOID</t>
        </is>
      </c>
    </row>
    <row r="355">
      <c r="A355" t="inlineStr">
        <is>
          <t>INMD</t>
        </is>
      </c>
      <c r="B355" t="inlineStr">
        <is>
          <t>2026-07-30</t>
        </is>
      </c>
      <c r="C355" t="n">
        <v>15.08</v>
      </c>
      <c r="D355" t="n">
        <v>45.67</v>
      </c>
      <c r="E355" t="n">
        <v>0.72</v>
      </c>
      <c r="F355" t="n">
        <v>4.22</v>
      </c>
      <c r="G355" t="n">
        <v>-9.27</v>
      </c>
      <c r="H355" t="n">
        <v>35</v>
      </c>
      <c r="I355" t="n">
        <v>85</v>
      </c>
      <c r="J355" t="n">
        <v>45</v>
      </c>
      <c r="K355" t="b">
        <v>0</v>
      </c>
      <c r="L355" t="b">
        <v>0</v>
      </c>
      <c r="M355" t="inlineStr">
        <is>
          <t>AVOID</t>
        </is>
      </c>
    </row>
    <row r="356">
      <c r="A356" t="inlineStr">
        <is>
          <t>INSM</t>
        </is>
      </c>
      <c r="B356" t="inlineStr">
        <is>
          <t>2026-07-30</t>
        </is>
      </c>
      <c r="C356" t="n">
        <v>101.25</v>
      </c>
      <c r="D356" t="n">
        <v>18.45</v>
      </c>
      <c r="E356" t="n">
        <v>0.9</v>
      </c>
      <c r="F356" t="n">
        <v>-25.73</v>
      </c>
      <c r="G356" t="n">
        <v>-52.11</v>
      </c>
      <c r="H356" t="n">
        <v>10</v>
      </c>
      <c r="I356" t="n">
        <v>0</v>
      </c>
      <c r="J356" t="n">
        <v>10</v>
      </c>
      <c r="K356" t="b">
        <v>0</v>
      </c>
      <c r="L356" t="b">
        <v>0</v>
      </c>
      <c r="M356" t="inlineStr">
        <is>
          <t>AVOID</t>
        </is>
      </c>
    </row>
    <row r="357">
      <c r="A357" t="inlineStr">
        <is>
          <t>INTC</t>
        </is>
      </c>
      <c r="B357" t="inlineStr">
        <is>
          <t>2026-07-30</t>
        </is>
      </c>
      <c r="C357" t="n">
        <v>92.09999999999999</v>
      </c>
      <c r="D357" t="n">
        <v>37.01</v>
      </c>
      <c r="E357" t="n">
        <v>0.9</v>
      </c>
      <c r="F357" t="n">
        <v>-2.52</v>
      </c>
      <c r="G357" t="n">
        <v>-34.65</v>
      </c>
      <c r="H357" t="n">
        <v>25</v>
      </c>
      <c r="I357" t="n">
        <v>25</v>
      </c>
      <c r="J357" t="n">
        <v>25</v>
      </c>
      <c r="K357" t="b">
        <v>0</v>
      </c>
      <c r="L357" t="b">
        <v>0</v>
      </c>
      <c r="M357" t="inlineStr">
        <is>
          <t>AVOID</t>
        </is>
      </c>
    </row>
    <row r="358">
      <c r="A358" t="inlineStr">
        <is>
          <t>INTU</t>
        </is>
      </c>
      <c r="B358" t="inlineStr">
        <is>
          <t>2026-07-30</t>
        </is>
      </c>
      <c r="C358" t="n">
        <v>315</v>
      </c>
      <c r="D358" t="n">
        <v>65.59</v>
      </c>
      <c r="E358" t="n">
        <v>0.78</v>
      </c>
      <c r="F358" t="n">
        <v>-18.56</v>
      </c>
      <c r="G358" t="n">
        <v>-60.55</v>
      </c>
      <c r="H358" t="n">
        <v>25</v>
      </c>
      <c r="I358" t="n">
        <v>20</v>
      </c>
      <c r="J358" t="n">
        <v>25</v>
      </c>
      <c r="K358" t="b">
        <v>0</v>
      </c>
      <c r="L358" t="b">
        <v>0</v>
      </c>
      <c r="M358" t="inlineStr">
        <is>
          <t>AVOID</t>
        </is>
      </c>
    </row>
    <row r="359">
      <c r="A359" t="inlineStr">
        <is>
          <t>INTZ</t>
        </is>
      </c>
      <c r="B359" t="inlineStr">
        <is>
          <t>2026-07-30</t>
        </is>
      </c>
      <c r="C359" t="n">
        <v>0.79</v>
      </c>
      <c r="D359" t="n">
        <v>33.33</v>
      </c>
      <c r="E359" t="n">
        <v>0.47</v>
      </c>
      <c r="F359" t="n">
        <v>-1.25</v>
      </c>
      <c r="G359" t="n">
        <v>-61.65</v>
      </c>
      <c r="H359" t="n">
        <v>10</v>
      </c>
      <c r="I359" t="n">
        <v>0</v>
      </c>
      <c r="J359" t="n">
        <v>10</v>
      </c>
      <c r="K359" t="b">
        <v>0</v>
      </c>
      <c r="L359" t="b">
        <v>0</v>
      </c>
      <c r="M359" t="inlineStr">
        <is>
          <t>AVOID</t>
        </is>
      </c>
    </row>
    <row r="360">
      <c r="A360" t="inlineStr">
        <is>
          <t>INVA</t>
        </is>
      </c>
      <c r="B360" t="inlineStr">
        <is>
          <t>2026-07-30</t>
        </is>
      </c>
      <c r="C360" t="n">
        <v>21.24</v>
      </c>
      <c r="D360" t="n">
        <v>37.58</v>
      </c>
      <c r="E360" t="n">
        <v>0.32</v>
      </c>
      <c r="F360" t="n">
        <v>-7.63</v>
      </c>
      <c r="G360" t="n">
        <v>-12.4</v>
      </c>
      <c r="H360" t="n">
        <v>10</v>
      </c>
      <c r="I360" t="n">
        <v>15</v>
      </c>
      <c r="J360" t="n">
        <v>10</v>
      </c>
      <c r="K360" t="b">
        <v>0</v>
      </c>
      <c r="L360" t="b">
        <v>0</v>
      </c>
      <c r="M360" t="inlineStr">
        <is>
          <t>AVOID</t>
        </is>
      </c>
    </row>
    <row r="361">
      <c r="A361" t="inlineStr">
        <is>
          <t>IONS</t>
        </is>
      </c>
      <c r="B361" t="inlineStr">
        <is>
          <t>2026-07-30</t>
        </is>
      </c>
      <c r="C361" t="n">
        <v>53.57</v>
      </c>
      <c r="D361" t="n">
        <v>30.3</v>
      </c>
      <c r="E361" t="n">
        <v>0.36</v>
      </c>
      <c r="F361" t="n">
        <v>-28.34</v>
      </c>
      <c r="G361" t="n">
        <v>-38.07</v>
      </c>
      <c r="H361" t="n">
        <v>0</v>
      </c>
      <c r="I361" t="n">
        <v>0</v>
      </c>
      <c r="J361" t="n">
        <v>0</v>
      </c>
      <c r="K361" t="b">
        <v>0</v>
      </c>
      <c r="L361" t="b">
        <v>0</v>
      </c>
      <c r="M361" t="inlineStr">
        <is>
          <t>AVOID</t>
        </is>
      </c>
    </row>
    <row r="362">
      <c r="A362" t="inlineStr">
        <is>
          <t>IOVA</t>
        </is>
      </c>
      <c r="B362" t="inlineStr">
        <is>
          <t>2026-07-30</t>
        </is>
      </c>
      <c r="C362" t="n">
        <v>4.75</v>
      </c>
      <c r="D362" t="n">
        <v>58.33</v>
      </c>
      <c r="E362" t="n">
        <v>0.53</v>
      </c>
      <c r="F362" t="n">
        <v>41.37</v>
      </c>
      <c r="G362" t="n">
        <v>-13.32</v>
      </c>
      <c r="H362" t="n">
        <v>60</v>
      </c>
      <c r="I362" t="n">
        <v>85</v>
      </c>
      <c r="J362" t="n">
        <v>90</v>
      </c>
      <c r="K362" t="b">
        <v>0</v>
      </c>
      <c r="L362" t="b">
        <v>0</v>
      </c>
      <c r="M362" t="inlineStr">
        <is>
          <t>WATCH</t>
        </is>
      </c>
    </row>
    <row r="363">
      <c r="A363" t="inlineStr">
        <is>
          <t>IPGP</t>
        </is>
      </c>
      <c r="B363" t="inlineStr">
        <is>
          <t>2026-07-30</t>
        </is>
      </c>
      <c r="C363" t="n">
        <v>84.23999999999999</v>
      </c>
      <c r="D363" t="n">
        <v>26.33</v>
      </c>
      <c r="E363" t="n">
        <v>0.52</v>
      </c>
      <c r="F363" t="n">
        <v>-29.16</v>
      </c>
      <c r="G363" t="n">
        <v>-45.27</v>
      </c>
      <c r="H363" t="n">
        <v>10</v>
      </c>
      <c r="I363" t="n">
        <v>0</v>
      </c>
      <c r="J363" t="n">
        <v>10</v>
      </c>
      <c r="K363" t="b">
        <v>0</v>
      </c>
      <c r="L363" t="b">
        <v>0</v>
      </c>
      <c r="M363" t="inlineStr">
        <is>
          <t>AVOID</t>
        </is>
      </c>
    </row>
    <row r="364">
      <c r="A364" t="inlineStr">
        <is>
          <t>IQ</t>
        </is>
      </c>
      <c r="B364" t="inlineStr">
        <is>
          <t>2026-07-30</t>
        </is>
      </c>
      <c r="C364" t="n">
        <v>1.29</v>
      </c>
      <c r="D364" t="n">
        <v>71.01000000000001</v>
      </c>
      <c r="E364" t="n">
        <v>0.6899999999999999</v>
      </c>
      <c r="F364" t="n">
        <v>9.279999999999999</v>
      </c>
      <c r="G364" t="n">
        <v>-53.78</v>
      </c>
      <c r="H364" t="n">
        <v>35</v>
      </c>
      <c r="I364" t="n">
        <v>20</v>
      </c>
      <c r="J364" t="n">
        <v>35</v>
      </c>
      <c r="K364" t="b">
        <v>0</v>
      </c>
      <c r="L364" t="b">
        <v>0</v>
      </c>
      <c r="M364" t="inlineStr">
        <is>
          <t>AVOID</t>
        </is>
      </c>
    </row>
    <row r="365">
      <c r="A365" t="inlineStr">
        <is>
          <t>IRDM</t>
        </is>
      </c>
      <c r="B365" t="inlineStr">
        <is>
          <t>2026-07-30</t>
        </is>
      </c>
      <c r="C365" t="n">
        <v>46.29</v>
      </c>
      <c r="D365" t="n">
        <v>34.15</v>
      </c>
      <c r="E365" t="n">
        <v>0.46</v>
      </c>
      <c r="F365" t="n">
        <v>18.86</v>
      </c>
      <c r="G365" t="n">
        <v>-16.92</v>
      </c>
      <c r="H365" t="n">
        <v>35</v>
      </c>
      <c r="I365" t="n">
        <v>25</v>
      </c>
      <c r="J365" t="n">
        <v>45</v>
      </c>
      <c r="K365" t="b">
        <v>0</v>
      </c>
      <c r="L365" t="b">
        <v>0</v>
      </c>
      <c r="M365" t="inlineStr">
        <is>
          <t>AVOID</t>
        </is>
      </c>
    </row>
    <row r="366">
      <c r="A366" t="inlineStr">
        <is>
          <t>IRTC</t>
        </is>
      </c>
      <c r="B366" t="inlineStr">
        <is>
          <t>2026-07-30</t>
        </is>
      </c>
      <c r="C366" t="n">
        <v>118.93</v>
      </c>
      <c r="D366" t="n">
        <v>53.36</v>
      </c>
      <c r="E366" t="n">
        <v>0.98</v>
      </c>
      <c r="F366" t="n">
        <v>-7.92</v>
      </c>
      <c r="G366" t="n">
        <v>-37.16</v>
      </c>
      <c r="H366" t="n">
        <v>35</v>
      </c>
      <c r="I366" t="n">
        <v>60</v>
      </c>
      <c r="J366" t="n">
        <v>35</v>
      </c>
      <c r="K366" t="b">
        <v>0</v>
      </c>
      <c r="L366" t="b">
        <v>0</v>
      </c>
      <c r="M366" t="inlineStr">
        <is>
          <t>AVOID</t>
        </is>
      </c>
    </row>
    <row r="367">
      <c r="A367" t="inlineStr">
        <is>
          <t>IRWD</t>
        </is>
      </c>
      <c r="B367" t="inlineStr">
        <is>
          <t>2026-07-30</t>
        </is>
      </c>
      <c r="C367" t="n">
        <v>3.7</v>
      </c>
      <c r="D367" t="n">
        <v>26.32</v>
      </c>
      <c r="E367" t="n">
        <v>0.26</v>
      </c>
      <c r="F367" t="n">
        <v>-10.29</v>
      </c>
      <c r="G367" t="n">
        <v>-31.26</v>
      </c>
      <c r="H367" t="n">
        <v>35</v>
      </c>
      <c r="I367" t="n">
        <v>25</v>
      </c>
      <c r="J367" t="n">
        <v>35</v>
      </c>
      <c r="K367" t="b">
        <v>0</v>
      </c>
      <c r="L367" t="b">
        <v>0</v>
      </c>
      <c r="M367" t="inlineStr">
        <is>
          <t>AVOID</t>
        </is>
      </c>
    </row>
    <row r="368">
      <c r="A368" t="inlineStr">
        <is>
          <t>ISRG</t>
        </is>
      </c>
      <c r="B368" t="inlineStr">
        <is>
          <t>2026-07-30</t>
        </is>
      </c>
      <c r="C368" t="n">
        <v>351.79</v>
      </c>
      <c r="D368" t="n">
        <v>34.41</v>
      </c>
      <c r="E368" t="n">
        <v>0.42</v>
      </c>
      <c r="F368" t="n">
        <v>-23.12</v>
      </c>
      <c r="G368" t="n">
        <v>-40.66</v>
      </c>
      <c r="H368" t="n">
        <v>0</v>
      </c>
      <c r="I368" t="n">
        <v>0</v>
      </c>
      <c r="J368" t="n">
        <v>0</v>
      </c>
      <c r="K368" t="b">
        <v>0</v>
      </c>
      <c r="L368" t="b">
        <v>0</v>
      </c>
      <c r="M368" t="inlineStr">
        <is>
          <t>AVOID</t>
        </is>
      </c>
    </row>
    <row r="369">
      <c r="A369" t="inlineStr">
        <is>
          <t>ITRI</t>
        </is>
      </c>
      <c r="B369" t="inlineStr">
        <is>
          <t>2026-07-30</t>
        </is>
      </c>
      <c r="C369" t="n">
        <v>97.33</v>
      </c>
      <c r="D369" t="n">
        <v>65.06999999999999</v>
      </c>
      <c r="E369" t="n">
        <v>0.87</v>
      </c>
      <c r="F369" t="n">
        <v>16.15</v>
      </c>
      <c r="G369" t="n">
        <v>-29.68</v>
      </c>
      <c r="H369" t="n">
        <v>50</v>
      </c>
      <c r="I369" t="n">
        <v>45</v>
      </c>
      <c r="J369" t="n">
        <v>60</v>
      </c>
      <c r="K369" t="b">
        <v>0</v>
      </c>
      <c r="L369" t="b">
        <v>0</v>
      </c>
      <c r="M369" t="inlineStr">
        <is>
          <t>AVOID</t>
        </is>
      </c>
    </row>
    <row r="370">
      <c r="A370" t="inlineStr">
        <is>
          <t>IVA</t>
        </is>
      </c>
      <c r="B370" t="inlineStr">
        <is>
          <t>2026-07-30</t>
        </is>
      </c>
      <c r="C370" t="n">
        <v>4.61</v>
      </c>
      <c r="D370" t="n">
        <v>63.6</v>
      </c>
      <c r="E370" t="n">
        <v>0.34</v>
      </c>
      <c r="F370" t="n">
        <v>-10.14</v>
      </c>
      <c r="G370" t="n">
        <v>-35.52</v>
      </c>
      <c r="H370" t="n">
        <v>35</v>
      </c>
      <c r="I370" t="n">
        <v>45</v>
      </c>
      <c r="J370" t="n">
        <v>35</v>
      </c>
      <c r="K370" t="b">
        <v>0</v>
      </c>
      <c r="L370" t="b">
        <v>0</v>
      </c>
      <c r="M370" t="inlineStr">
        <is>
          <t>AVOID</t>
        </is>
      </c>
    </row>
    <row r="371">
      <c r="A371" t="inlineStr">
        <is>
          <t>JACK</t>
        </is>
      </c>
      <c r="B371" t="inlineStr">
        <is>
          <t>2026-07-30</t>
        </is>
      </c>
      <c r="C371" t="n">
        <v>16.28</v>
      </c>
      <c r="D371" t="n">
        <v>60.07</v>
      </c>
      <c r="E371" t="n">
        <v>0.46</v>
      </c>
      <c r="F371" t="n">
        <v>29.25</v>
      </c>
      <c r="G371" t="n">
        <v>-30.76</v>
      </c>
      <c r="H371" t="n">
        <v>50</v>
      </c>
      <c r="I371" t="n">
        <v>70</v>
      </c>
      <c r="J371" t="n">
        <v>70</v>
      </c>
      <c r="K371" t="b">
        <v>0</v>
      </c>
      <c r="L371" t="b">
        <v>0</v>
      </c>
      <c r="M371" t="inlineStr">
        <is>
          <t>AVOID</t>
        </is>
      </c>
    </row>
    <row r="372">
      <c r="A372" t="inlineStr">
        <is>
          <t>JAZZ</t>
        </is>
      </c>
      <c r="B372" t="inlineStr">
        <is>
          <t>2026-07-30</t>
        </is>
      </c>
      <c r="C372" t="n">
        <v>258.61</v>
      </c>
      <c r="D372" t="n">
        <v>65.37</v>
      </c>
      <c r="E372" t="n">
        <v>0.52</v>
      </c>
      <c r="F372" t="n">
        <v>27.38</v>
      </c>
      <c r="G372" t="n">
        <v>0</v>
      </c>
      <c r="H372" t="n">
        <v>60</v>
      </c>
      <c r="I372" t="n">
        <v>45</v>
      </c>
      <c r="J372" t="n">
        <v>100</v>
      </c>
      <c r="K372" t="b">
        <v>0</v>
      </c>
      <c r="L372" t="b">
        <v>0</v>
      </c>
      <c r="M372" t="inlineStr">
        <is>
          <t>HIGH CONVICTION</t>
        </is>
      </c>
    </row>
    <row r="373">
      <c r="A373" t="inlineStr">
        <is>
          <t>JBHT</t>
        </is>
      </c>
      <c r="B373" t="inlineStr">
        <is>
          <t>2026-07-30</t>
        </is>
      </c>
      <c r="C373" t="n">
        <v>267.07</v>
      </c>
      <c r="D373" t="n">
        <v>40.6</v>
      </c>
      <c r="E373" t="n">
        <v>0.57</v>
      </c>
      <c r="F373" t="n">
        <v>6.38</v>
      </c>
      <c r="G373" t="n">
        <v>-10.5</v>
      </c>
      <c r="H373" t="n">
        <v>35</v>
      </c>
      <c r="I373" t="n">
        <v>25</v>
      </c>
      <c r="J373" t="n">
        <v>35</v>
      </c>
      <c r="K373" t="b">
        <v>0</v>
      </c>
      <c r="L373" t="b">
        <v>0</v>
      </c>
      <c r="M373" t="inlineStr">
        <is>
          <t>AVOID</t>
        </is>
      </c>
    </row>
    <row r="374">
      <c r="A374" t="inlineStr">
        <is>
          <t>JBLU</t>
        </is>
      </c>
      <c r="B374" t="inlineStr">
        <is>
          <t>2026-07-30</t>
        </is>
      </c>
      <c r="C374" t="n">
        <v>6.05</v>
      </c>
      <c r="D374" t="n">
        <v>54.8</v>
      </c>
      <c r="E374" t="n">
        <v>0.97</v>
      </c>
      <c r="F374" t="n">
        <v>29.94</v>
      </c>
      <c r="G374" t="n">
        <v>-6.27</v>
      </c>
      <c r="H374" t="n">
        <v>60</v>
      </c>
      <c r="I374" t="n">
        <v>70</v>
      </c>
      <c r="J374" t="n">
        <v>90</v>
      </c>
      <c r="K374" t="b">
        <v>0</v>
      </c>
      <c r="L374" t="b">
        <v>0</v>
      </c>
      <c r="M374" t="inlineStr">
        <is>
          <t>WATCH</t>
        </is>
      </c>
    </row>
    <row r="375">
      <c r="A375" t="inlineStr">
        <is>
          <t>JD</t>
        </is>
      </c>
      <c r="B375" t="inlineStr">
        <is>
          <t>2026-07-30</t>
        </is>
      </c>
      <c r="C375" t="n">
        <v>32.25</v>
      </c>
      <c r="D375" t="n">
        <v>88.43000000000001</v>
      </c>
      <c r="E375" t="n">
        <v>0.84</v>
      </c>
      <c r="F375" t="n">
        <v>6.37</v>
      </c>
      <c r="G375" t="n">
        <v>-7.66</v>
      </c>
      <c r="H375" t="n">
        <v>50</v>
      </c>
      <c r="I375" t="n">
        <v>45</v>
      </c>
      <c r="J375" t="n">
        <v>60</v>
      </c>
      <c r="K375" t="b">
        <v>0</v>
      </c>
      <c r="L375" t="b">
        <v>0</v>
      </c>
      <c r="M375" t="inlineStr">
        <is>
          <t>AVOID</t>
        </is>
      </c>
    </row>
    <row r="376">
      <c r="A376" t="inlineStr">
        <is>
          <t>JKHY</t>
        </is>
      </c>
      <c r="B376" t="inlineStr">
        <is>
          <t>2026-07-30</t>
        </is>
      </c>
      <c r="C376" t="n">
        <v>154.51</v>
      </c>
      <c r="D376" t="n">
        <v>54.5</v>
      </c>
      <c r="E376" t="n">
        <v>0.38</v>
      </c>
      <c r="F376" t="n">
        <v>0.9399999999999999</v>
      </c>
      <c r="G376" t="n">
        <v>-19.13</v>
      </c>
      <c r="H376" t="n">
        <v>35</v>
      </c>
      <c r="I376" t="n">
        <v>60</v>
      </c>
      <c r="J376" t="n">
        <v>35</v>
      </c>
      <c r="K376" t="b">
        <v>0</v>
      </c>
      <c r="L376" t="b">
        <v>0</v>
      </c>
      <c r="M376" t="inlineStr">
        <is>
          <t>AVOID</t>
        </is>
      </c>
    </row>
    <row r="377">
      <c r="A377" t="inlineStr">
        <is>
          <t>KC</t>
        </is>
      </c>
      <c r="B377" t="inlineStr">
        <is>
          <t>2026-07-30</t>
        </is>
      </c>
      <c r="C377" t="n">
        <v>9.98</v>
      </c>
      <c r="D377" t="n">
        <v>38.52</v>
      </c>
      <c r="E377" t="n">
        <v>0.46</v>
      </c>
      <c r="F377" t="n">
        <v>-33.78</v>
      </c>
      <c r="G377" t="n">
        <v>-45.19</v>
      </c>
      <c r="H377" t="n">
        <v>10</v>
      </c>
      <c r="I377" t="n">
        <v>15</v>
      </c>
      <c r="J377" t="n">
        <v>10</v>
      </c>
      <c r="K377" t="b">
        <v>0</v>
      </c>
      <c r="L377" t="b">
        <v>0</v>
      </c>
      <c r="M377" t="inlineStr">
        <is>
          <t>AVOID</t>
        </is>
      </c>
    </row>
    <row r="378">
      <c r="A378" t="inlineStr">
        <is>
          <t>KDP</t>
        </is>
      </c>
      <c r="B378" t="inlineStr">
        <is>
          <t>2026-07-30</t>
        </is>
      </c>
      <c r="C378" t="n">
        <v>31.35</v>
      </c>
      <c r="D378" t="n">
        <v>47.42</v>
      </c>
      <c r="E378" t="n">
        <v>0.61</v>
      </c>
      <c r="F378" t="n">
        <v>7.41</v>
      </c>
      <c r="G378" t="n">
        <v>-7.92</v>
      </c>
      <c r="H378" t="n">
        <v>55</v>
      </c>
      <c r="I378" t="n">
        <v>85</v>
      </c>
      <c r="J378" t="n">
        <v>65</v>
      </c>
      <c r="K378" t="b">
        <v>0</v>
      </c>
      <c r="L378" t="b">
        <v>0</v>
      </c>
      <c r="M378" t="inlineStr">
        <is>
          <t>AVOID</t>
        </is>
      </c>
    </row>
    <row r="379">
      <c r="A379" t="inlineStr">
        <is>
          <t>KELYA</t>
        </is>
      </c>
      <c r="B379" t="inlineStr">
        <is>
          <t>2026-07-30</t>
        </is>
      </c>
      <c r="C379" t="n">
        <v>15.04</v>
      </c>
      <c r="D379" t="n">
        <v>64.58</v>
      </c>
      <c r="E379" t="n">
        <v>0.51</v>
      </c>
      <c r="F379" t="n">
        <v>55.31</v>
      </c>
      <c r="G379" t="n">
        <v>-6.87</v>
      </c>
      <c r="H379" t="n">
        <v>60</v>
      </c>
      <c r="I379" t="n">
        <v>85</v>
      </c>
      <c r="J379" t="n">
        <v>100</v>
      </c>
      <c r="K379" t="b">
        <v>0</v>
      </c>
      <c r="L379" t="b">
        <v>0</v>
      </c>
      <c r="M379" t="inlineStr">
        <is>
          <t>HIGH CONVICTION</t>
        </is>
      </c>
    </row>
    <row r="380">
      <c r="A380" t="inlineStr">
        <is>
          <t>KHC</t>
        </is>
      </c>
      <c r="B380" t="inlineStr">
        <is>
          <t>2026-07-30</t>
        </is>
      </c>
      <c r="C380" t="n">
        <v>26.38</v>
      </c>
      <c r="D380" t="n">
        <v>61.97</v>
      </c>
      <c r="E380" t="n">
        <v>0.61</v>
      </c>
      <c r="F380" t="n">
        <v>18.53</v>
      </c>
      <c r="G380" t="n">
        <v>-4.49</v>
      </c>
      <c r="H380" t="n">
        <v>60</v>
      </c>
      <c r="I380" t="n">
        <v>85</v>
      </c>
      <c r="J380" t="n">
        <v>90</v>
      </c>
      <c r="K380" t="b">
        <v>0</v>
      </c>
      <c r="L380" t="b">
        <v>0</v>
      </c>
      <c r="M380" t="inlineStr">
        <is>
          <t>WATCH</t>
        </is>
      </c>
    </row>
    <row r="381">
      <c r="A381" t="inlineStr">
        <is>
          <t>KLAC</t>
        </is>
      </c>
      <c r="B381" t="inlineStr">
        <is>
          <t>2026-07-30</t>
        </is>
      </c>
      <c r="C381" t="n">
        <v>181.29</v>
      </c>
      <c r="D381" t="n">
        <v>28.47</v>
      </c>
      <c r="E381" t="n">
        <v>0.75</v>
      </c>
      <c r="F381" t="n">
        <v>3.71</v>
      </c>
      <c r="G381" t="n">
        <v>-39.91</v>
      </c>
      <c r="H381" t="n">
        <v>25</v>
      </c>
      <c r="I381" t="n">
        <v>25</v>
      </c>
      <c r="J381" t="n">
        <v>25</v>
      </c>
      <c r="K381" t="b">
        <v>0</v>
      </c>
      <c r="L381" t="b">
        <v>0</v>
      </c>
      <c r="M381" t="inlineStr">
        <is>
          <t>AVOID</t>
        </is>
      </c>
    </row>
    <row r="382">
      <c r="A382" t="inlineStr">
        <is>
          <t>KLIC</t>
        </is>
      </c>
      <c r="B382" t="inlineStr">
        <is>
          <t>2026-07-30</t>
        </is>
      </c>
      <c r="C382" t="n">
        <v>88.68000000000001</v>
      </c>
      <c r="D382" t="n">
        <v>31.59</v>
      </c>
      <c r="E382" t="n">
        <v>0.84</v>
      </c>
      <c r="F382" t="n">
        <v>3.9</v>
      </c>
      <c r="G382" t="n">
        <v>-33.73</v>
      </c>
      <c r="H382" t="n">
        <v>25</v>
      </c>
      <c r="I382" t="n">
        <v>25</v>
      </c>
      <c r="J382" t="n">
        <v>25</v>
      </c>
      <c r="K382" t="b">
        <v>0</v>
      </c>
      <c r="L382" t="b">
        <v>0</v>
      </c>
      <c r="M382" t="inlineStr">
        <is>
          <t>AVOID</t>
        </is>
      </c>
    </row>
    <row r="383">
      <c r="A383" t="inlineStr">
        <is>
          <t>KNSA</t>
        </is>
      </c>
      <c r="B383" t="inlineStr">
        <is>
          <t>2026-07-30</t>
        </is>
      </c>
      <c r="C383" t="n">
        <v>79.29000000000001</v>
      </c>
      <c r="D383" t="n">
        <v>75.38</v>
      </c>
      <c r="E383" t="n">
        <v>0.8100000000000001</v>
      </c>
      <c r="F383" t="n">
        <v>47.43</v>
      </c>
      <c r="G383" t="n">
        <v>-2.01</v>
      </c>
      <c r="H383" t="n">
        <v>60</v>
      </c>
      <c r="I383" t="n">
        <v>45</v>
      </c>
      <c r="J383" t="n">
        <v>100</v>
      </c>
      <c r="K383" t="b">
        <v>0</v>
      </c>
      <c r="L383" t="b">
        <v>0</v>
      </c>
      <c r="M383" t="inlineStr">
        <is>
          <t>HIGH CONVICTION</t>
        </is>
      </c>
    </row>
    <row r="384">
      <c r="A384" t="inlineStr">
        <is>
          <t>KNSL</t>
        </is>
      </c>
      <c r="B384" t="inlineStr">
        <is>
          <t>2026-07-30</t>
        </is>
      </c>
      <c r="C384" t="n">
        <v>354.01</v>
      </c>
      <c r="D384" t="n">
        <v>54.24</v>
      </c>
      <c r="E384" t="n">
        <v>0.6899999999999999</v>
      </c>
      <c r="F384" t="n">
        <v>9.48</v>
      </c>
      <c r="G384" t="n">
        <v>-25.95</v>
      </c>
      <c r="H384" t="n">
        <v>35</v>
      </c>
      <c r="I384" t="n">
        <v>60</v>
      </c>
      <c r="J384" t="n">
        <v>35</v>
      </c>
      <c r="K384" t="b">
        <v>0</v>
      </c>
      <c r="L384" t="b">
        <v>0</v>
      </c>
      <c r="M384" t="inlineStr">
        <is>
          <t>AVOID</t>
        </is>
      </c>
    </row>
    <row r="385">
      <c r="A385" t="inlineStr">
        <is>
          <t>KOD</t>
        </is>
      </c>
      <c r="B385" t="inlineStr">
        <is>
          <t>2026-07-30</t>
        </is>
      </c>
      <c r="C385" t="n">
        <v>42.28</v>
      </c>
      <c r="D385" t="n">
        <v>53.12</v>
      </c>
      <c r="E385" t="n">
        <v>0.49</v>
      </c>
      <c r="F385" t="n">
        <v>-2.76</v>
      </c>
      <c r="G385" t="n">
        <v>-8.960000000000001</v>
      </c>
      <c r="H385" t="n">
        <v>60</v>
      </c>
      <c r="I385" t="n">
        <v>70</v>
      </c>
      <c r="J385" t="n">
        <v>70</v>
      </c>
      <c r="K385" t="b">
        <v>0</v>
      </c>
      <c r="L385" t="b">
        <v>0</v>
      </c>
      <c r="M385" t="inlineStr">
        <is>
          <t>AVOID</t>
        </is>
      </c>
    </row>
    <row r="386">
      <c r="A386" t="inlineStr">
        <is>
          <t>KPTI</t>
        </is>
      </c>
      <c r="B386" t="inlineStr">
        <is>
          <t>2026-07-30</t>
        </is>
      </c>
      <c r="C386" t="n">
        <v>6.84</v>
      </c>
      <c r="D386" t="n">
        <v>16.3</v>
      </c>
      <c r="E386" t="n">
        <v>0.5600000000000001</v>
      </c>
      <c r="F386" t="n">
        <v>-17.63</v>
      </c>
      <c r="G386" t="n">
        <v>-35.85</v>
      </c>
      <c r="H386" t="n">
        <v>10</v>
      </c>
      <c r="I386" t="n">
        <v>0</v>
      </c>
      <c r="J386" t="n">
        <v>10</v>
      </c>
      <c r="K386" t="b">
        <v>0</v>
      </c>
      <c r="L386" t="b">
        <v>0</v>
      </c>
      <c r="M386" t="inlineStr">
        <is>
          <t>AVOID</t>
        </is>
      </c>
    </row>
    <row r="387">
      <c r="A387" t="inlineStr">
        <is>
          <t>KRNY</t>
        </is>
      </c>
      <c r="B387" t="inlineStr">
        <is>
          <t>2026-07-30</t>
        </is>
      </c>
      <c r="C387" t="n">
        <v>9.65</v>
      </c>
      <c r="D387" t="n">
        <v>59.42</v>
      </c>
      <c r="E387" t="n">
        <v>0.43</v>
      </c>
      <c r="F387" t="n">
        <v>21.73</v>
      </c>
      <c r="G387" t="n">
        <v>-0.36</v>
      </c>
      <c r="H387" t="n">
        <v>60</v>
      </c>
      <c r="I387" t="n">
        <v>85</v>
      </c>
      <c r="J387" t="n">
        <v>100</v>
      </c>
      <c r="K387" t="b">
        <v>0</v>
      </c>
      <c r="L387" t="b">
        <v>0</v>
      </c>
      <c r="M387" t="inlineStr">
        <is>
          <t>HIGH CONVICTION</t>
        </is>
      </c>
    </row>
    <row r="388">
      <c r="A388" t="inlineStr">
        <is>
          <t>KRYS</t>
        </is>
      </c>
      <c r="B388" t="inlineStr">
        <is>
          <t>2026-07-30</t>
        </is>
      </c>
      <c r="C388" t="n">
        <v>366.69</v>
      </c>
      <c r="D388" t="n">
        <v>50.35</v>
      </c>
      <c r="E388" t="n">
        <v>0.31</v>
      </c>
      <c r="F388" t="n">
        <v>39.82</v>
      </c>
      <c r="G388" t="n">
        <v>-3.03</v>
      </c>
      <c r="H388" t="n">
        <v>60</v>
      </c>
      <c r="I388" t="n">
        <v>70</v>
      </c>
      <c r="J388" t="n">
        <v>100</v>
      </c>
      <c r="K388" t="b">
        <v>0</v>
      </c>
      <c r="L388" t="b">
        <v>0</v>
      </c>
      <c r="M388" t="inlineStr">
        <is>
          <t>HIGH CONVICTION</t>
        </is>
      </c>
    </row>
    <row r="389">
      <c r="A389" t="inlineStr">
        <is>
          <t>KTOS</t>
        </is>
      </c>
      <c r="B389" t="inlineStr">
        <is>
          <t>2026-07-30</t>
        </is>
      </c>
      <c r="C389" t="n">
        <v>45.65</v>
      </c>
      <c r="D389" t="n">
        <v>44.86</v>
      </c>
      <c r="E389" t="n">
        <v>0.6</v>
      </c>
      <c r="F389" t="n">
        <v>-27.6</v>
      </c>
      <c r="G389" t="n">
        <v>-65.08</v>
      </c>
      <c r="H389" t="n">
        <v>0</v>
      </c>
      <c r="I389" t="n">
        <v>0</v>
      </c>
      <c r="J389" t="n">
        <v>0</v>
      </c>
      <c r="K389" t="b">
        <v>0</v>
      </c>
      <c r="L389" t="b">
        <v>0</v>
      </c>
      <c r="M389" t="inlineStr">
        <is>
          <t>AVOID</t>
        </is>
      </c>
    </row>
    <row r="390">
      <c r="A390" t="inlineStr">
        <is>
          <t>KURA</t>
        </is>
      </c>
      <c r="B390" t="inlineStr">
        <is>
          <t>2026-07-30</t>
        </is>
      </c>
      <c r="C390" t="n">
        <v>9.279999999999999</v>
      </c>
      <c r="D390" t="n">
        <v>23.73</v>
      </c>
      <c r="E390" t="n">
        <v>0.58</v>
      </c>
      <c r="F390" t="n">
        <v>5.1</v>
      </c>
      <c r="G390" t="n">
        <v>-23.56</v>
      </c>
      <c r="H390" t="n">
        <v>20</v>
      </c>
      <c r="I390" t="n">
        <v>0</v>
      </c>
      <c r="J390" t="n">
        <v>20</v>
      </c>
      <c r="K390" t="b">
        <v>0</v>
      </c>
      <c r="L390" t="b">
        <v>0</v>
      </c>
      <c r="M390" t="inlineStr">
        <is>
          <t>AVOID</t>
        </is>
      </c>
    </row>
    <row r="391">
      <c r="A391" t="inlineStr">
        <is>
          <t>KWEB</t>
        </is>
      </c>
      <c r="B391" t="inlineStr">
        <is>
          <t>2026-07-30</t>
        </is>
      </c>
      <c r="C391" t="n">
        <v>28.01</v>
      </c>
      <c r="D391" t="n">
        <v>64.27</v>
      </c>
      <c r="E391" t="n">
        <v>0.93</v>
      </c>
      <c r="F391" t="n">
        <v>-2.64</v>
      </c>
      <c r="G391" t="n">
        <v>-30.8</v>
      </c>
      <c r="H391" t="n">
        <v>35</v>
      </c>
      <c r="I391" t="n">
        <v>45</v>
      </c>
      <c r="J391" t="n">
        <v>35</v>
      </c>
      <c r="K391" t="b">
        <v>0</v>
      </c>
      <c r="L391" t="b">
        <v>0</v>
      </c>
      <c r="M391" t="inlineStr">
        <is>
          <t>AVOID</t>
        </is>
      </c>
    </row>
    <row r="392">
      <c r="A392" t="inlineStr">
        <is>
          <t>KYMR</t>
        </is>
      </c>
      <c r="B392" t="inlineStr">
        <is>
          <t>2026-07-30</t>
        </is>
      </c>
      <c r="C392" t="n">
        <v>106.43</v>
      </c>
      <c r="D392" t="n">
        <v>29.4</v>
      </c>
      <c r="E392" t="n">
        <v>0.38</v>
      </c>
      <c r="F392" t="n">
        <v>31.28</v>
      </c>
      <c r="G392" t="n">
        <v>-10.83</v>
      </c>
      <c r="H392" t="n">
        <v>45</v>
      </c>
      <c r="I392" t="n">
        <v>45</v>
      </c>
      <c r="J392" t="n">
        <v>75</v>
      </c>
      <c r="K392" t="b">
        <v>0</v>
      </c>
      <c r="L392" t="b">
        <v>0</v>
      </c>
      <c r="M392" t="inlineStr">
        <is>
          <t>AVOID</t>
        </is>
      </c>
    </row>
    <row r="393">
      <c r="A393" t="inlineStr">
        <is>
          <t>LAMR</t>
        </is>
      </c>
      <c r="B393" t="inlineStr">
        <is>
          <t>2026-07-30</t>
        </is>
      </c>
      <c r="C393" t="n">
        <v>160.54</v>
      </c>
      <c r="D393" t="n">
        <v>62.04</v>
      </c>
      <c r="E393" t="n">
        <v>0.76</v>
      </c>
      <c r="F393" t="n">
        <v>17.68</v>
      </c>
      <c r="G393" t="n">
        <v>-2.31</v>
      </c>
      <c r="H393" t="n">
        <v>60</v>
      </c>
      <c r="I393" t="n">
        <v>85</v>
      </c>
      <c r="J393" t="n">
        <v>90</v>
      </c>
      <c r="K393" t="b">
        <v>0</v>
      </c>
      <c r="L393" t="b">
        <v>0</v>
      </c>
      <c r="M393" t="inlineStr">
        <is>
          <t>WATCH</t>
        </is>
      </c>
    </row>
    <row r="394">
      <c r="A394" t="inlineStr">
        <is>
          <t>LAND</t>
        </is>
      </c>
      <c r="B394" t="inlineStr">
        <is>
          <t>2026-07-30</t>
        </is>
      </c>
      <c r="C394" t="n">
        <v>8.300000000000001</v>
      </c>
      <c r="D394" t="n">
        <v>41.35</v>
      </c>
      <c r="E394" t="n">
        <v>1.28</v>
      </c>
      <c r="F394" t="n">
        <v>-12.06</v>
      </c>
      <c r="G394" t="n">
        <v>-31.91</v>
      </c>
      <c r="H394" t="n">
        <v>0</v>
      </c>
      <c r="I394" t="n">
        <v>15</v>
      </c>
      <c r="J394" t="n">
        <v>10</v>
      </c>
      <c r="K394" t="b">
        <v>0</v>
      </c>
      <c r="L394" t="b">
        <v>0</v>
      </c>
      <c r="M394" t="inlineStr">
        <is>
          <t>AVOID</t>
        </is>
      </c>
    </row>
    <row r="395">
      <c r="A395" t="inlineStr">
        <is>
          <t>LASR</t>
        </is>
      </c>
      <c r="B395" t="inlineStr">
        <is>
          <t>2026-07-30</t>
        </is>
      </c>
      <c r="C395" t="n">
        <v>64.88</v>
      </c>
      <c r="D395" t="n">
        <v>42.25</v>
      </c>
      <c r="E395" t="n">
        <v>0.39</v>
      </c>
      <c r="F395" t="n">
        <v>-7.12</v>
      </c>
      <c r="G395" t="n">
        <v>-23.63</v>
      </c>
      <c r="H395" t="n">
        <v>25</v>
      </c>
      <c r="I395" t="n">
        <v>25</v>
      </c>
      <c r="J395" t="n">
        <v>25</v>
      </c>
      <c r="K395" t="b">
        <v>0</v>
      </c>
      <c r="L395" t="b">
        <v>0</v>
      </c>
      <c r="M395" t="inlineStr">
        <is>
          <t>AVOID</t>
        </is>
      </c>
    </row>
    <row r="396">
      <c r="A396" t="inlineStr">
        <is>
          <t>LAUR</t>
        </is>
      </c>
      <c r="B396" t="inlineStr">
        <is>
          <t>2026-07-30</t>
        </is>
      </c>
      <c r="C396" t="n">
        <v>38.7</v>
      </c>
      <c r="D396" t="n">
        <v>38.33</v>
      </c>
      <c r="E396" t="n">
        <v>0.88</v>
      </c>
      <c r="F396" t="n">
        <v>28.59</v>
      </c>
      <c r="G396" t="n">
        <v>-4.35</v>
      </c>
      <c r="H396" t="n">
        <v>55</v>
      </c>
      <c r="I396" t="n">
        <v>60</v>
      </c>
      <c r="J396" t="n">
        <v>95</v>
      </c>
      <c r="K396" t="b">
        <v>0</v>
      </c>
      <c r="L396" t="b">
        <v>0</v>
      </c>
      <c r="M396" t="inlineStr">
        <is>
          <t>HIGH CONVICTION</t>
        </is>
      </c>
    </row>
    <row r="397">
      <c r="A397" t="inlineStr">
        <is>
          <t>LBRDK</t>
        </is>
      </c>
      <c r="B397" t="inlineStr">
        <is>
          <t>2026-07-30</t>
        </is>
      </c>
      <c r="C397" t="n">
        <v>33.01</v>
      </c>
      <c r="D397" t="n">
        <v>59.87</v>
      </c>
      <c r="E397" t="n">
        <v>0.35</v>
      </c>
      <c r="F397" t="n">
        <v>-14.22</v>
      </c>
      <c r="G397" t="n">
        <v>-49.38</v>
      </c>
      <c r="H397" t="n">
        <v>25</v>
      </c>
      <c r="I397" t="n">
        <v>45</v>
      </c>
      <c r="J397" t="n">
        <v>25</v>
      </c>
      <c r="K397" t="b">
        <v>0</v>
      </c>
      <c r="L397" t="b">
        <v>0</v>
      </c>
      <c r="M397" t="inlineStr">
        <is>
          <t>AVOID</t>
        </is>
      </c>
    </row>
    <row r="398">
      <c r="A398" t="inlineStr">
        <is>
          <t>LBTYA</t>
        </is>
      </c>
      <c r="B398" t="inlineStr">
        <is>
          <t>2026-07-30</t>
        </is>
      </c>
      <c r="C398" t="n">
        <v>10.52</v>
      </c>
      <c r="D398" t="n">
        <v>48.44</v>
      </c>
      <c r="E398" t="n">
        <v>0.67</v>
      </c>
      <c r="F398" t="n">
        <v>-9.109999999999999</v>
      </c>
      <c r="G398" t="n">
        <v>-19.22</v>
      </c>
      <c r="H398" t="n">
        <v>10</v>
      </c>
      <c r="I398" t="n">
        <v>40</v>
      </c>
      <c r="J398" t="n">
        <v>10</v>
      </c>
      <c r="K398" t="b">
        <v>0</v>
      </c>
      <c r="L398" t="b">
        <v>0</v>
      </c>
      <c r="M398" t="inlineStr">
        <is>
          <t>AVOID</t>
        </is>
      </c>
    </row>
    <row r="399">
      <c r="A399" t="inlineStr">
        <is>
          <t>LBTYK</t>
        </is>
      </c>
      <c r="B399" t="inlineStr">
        <is>
          <t>2026-07-30</t>
        </is>
      </c>
      <c r="C399" t="n">
        <v>10.25</v>
      </c>
      <c r="D399" t="n">
        <v>49.59</v>
      </c>
      <c r="E399" t="n">
        <v>0.79</v>
      </c>
      <c r="F399" t="n">
        <v>-9.609999999999999</v>
      </c>
      <c r="G399" t="n">
        <v>-19.1</v>
      </c>
      <c r="H399" t="n">
        <v>10</v>
      </c>
      <c r="I399" t="n">
        <v>40</v>
      </c>
      <c r="J399" t="n">
        <v>10</v>
      </c>
      <c r="K399" t="b">
        <v>0</v>
      </c>
      <c r="L399" t="b">
        <v>0</v>
      </c>
      <c r="M399" t="inlineStr">
        <is>
          <t>AVOID</t>
        </is>
      </c>
    </row>
    <row r="400">
      <c r="A400" t="inlineStr">
        <is>
          <t>LECO</t>
        </is>
      </c>
      <c r="B400" t="inlineStr">
        <is>
          <t>2026-07-30</t>
        </is>
      </c>
      <c r="C400" t="n">
        <v>248.23</v>
      </c>
      <c r="D400" t="n">
        <v>47.83</v>
      </c>
      <c r="E400" t="n">
        <v>1.68</v>
      </c>
      <c r="F400" t="n">
        <v>-6.05</v>
      </c>
      <c r="G400" t="n">
        <v>-16.43</v>
      </c>
      <c r="H400" t="n">
        <v>10</v>
      </c>
      <c r="I400" t="n">
        <v>55</v>
      </c>
      <c r="J400" t="n">
        <v>30</v>
      </c>
      <c r="K400" t="b">
        <v>0</v>
      </c>
      <c r="L400" t="b">
        <v>0</v>
      </c>
      <c r="M400" t="inlineStr">
        <is>
          <t>AVOID</t>
        </is>
      </c>
    </row>
    <row r="401">
      <c r="A401" t="inlineStr">
        <is>
          <t>LEGN</t>
        </is>
      </c>
      <c r="B401" t="inlineStr">
        <is>
          <t>2026-07-30</t>
        </is>
      </c>
      <c r="C401" t="n">
        <v>18.97</v>
      </c>
      <c r="D401" t="n">
        <v>12.83</v>
      </c>
      <c r="E401" t="n">
        <v>0.6899999999999999</v>
      </c>
      <c r="F401" t="n">
        <v>-19.35</v>
      </c>
      <c r="G401" t="n">
        <v>-53.06</v>
      </c>
      <c r="H401" t="n">
        <v>10</v>
      </c>
      <c r="I401" t="n">
        <v>0</v>
      </c>
      <c r="J401" t="n">
        <v>10</v>
      </c>
      <c r="K401" t="b">
        <v>0</v>
      </c>
      <c r="L401" t="b">
        <v>0</v>
      </c>
      <c r="M401" t="inlineStr">
        <is>
          <t>AVOID</t>
        </is>
      </c>
    </row>
    <row r="402">
      <c r="A402" t="inlineStr">
        <is>
          <t>LESL</t>
        </is>
      </c>
      <c r="B402" t="inlineStr">
        <is>
          <t>2026-07-30</t>
        </is>
      </c>
      <c r="C402" t="n">
        <v>0.87</v>
      </c>
      <c r="D402" t="n">
        <v>2.31</v>
      </c>
      <c r="E402" t="n">
        <v>1.38</v>
      </c>
      <c r="F402" t="n">
        <v>-48.96</v>
      </c>
      <c r="G402" t="n">
        <v>-91.95999999999999</v>
      </c>
      <c r="H402" t="n">
        <v>10</v>
      </c>
      <c r="I402" t="n">
        <v>15</v>
      </c>
      <c r="J402" t="n">
        <v>20</v>
      </c>
      <c r="K402" t="b">
        <v>0</v>
      </c>
      <c r="L402" t="b">
        <v>0</v>
      </c>
      <c r="M402" t="inlineStr">
        <is>
          <t>AVOID</t>
        </is>
      </c>
    </row>
    <row r="403">
      <c r="A403" t="inlineStr">
        <is>
          <t>LFUS</t>
        </is>
      </c>
      <c r="B403" t="inlineStr">
        <is>
          <t>2026-07-30</t>
        </is>
      </c>
      <c r="C403" t="n">
        <v>444.85</v>
      </c>
      <c r="D403" t="n">
        <v>61.35</v>
      </c>
      <c r="E403" t="n">
        <v>0.77</v>
      </c>
      <c r="F403" t="n">
        <v>10.25</v>
      </c>
      <c r="G403" t="n">
        <v>-9.050000000000001</v>
      </c>
      <c r="H403" t="n">
        <v>50</v>
      </c>
      <c r="I403" t="n">
        <v>70</v>
      </c>
      <c r="J403" t="n">
        <v>70</v>
      </c>
      <c r="K403" t="b">
        <v>0</v>
      </c>
      <c r="L403" t="b">
        <v>0</v>
      </c>
      <c r="M403" t="inlineStr">
        <is>
          <t>AVOID</t>
        </is>
      </c>
    </row>
    <row r="404">
      <c r="A404" t="inlineStr">
        <is>
          <t>LGND</t>
        </is>
      </c>
      <c r="B404" t="inlineStr">
        <is>
          <t>2026-07-30</t>
        </is>
      </c>
      <c r="C404" t="n">
        <v>293.96</v>
      </c>
      <c r="D404" t="n">
        <v>34.4</v>
      </c>
      <c r="E404" t="n">
        <v>0.4</v>
      </c>
      <c r="F404" t="n">
        <v>28.12</v>
      </c>
      <c r="G404" t="n">
        <v>-8.880000000000001</v>
      </c>
      <c r="H404" t="n">
        <v>45</v>
      </c>
      <c r="I404" t="n">
        <v>45</v>
      </c>
      <c r="J404" t="n">
        <v>75</v>
      </c>
      <c r="K404" t="b">
        <v>0</v>
      </c>
      <c r="L404" t="b">
        <v>0</v>
      </c>
      <c r="M404" t="inlineStr">
        <is>
          <t>AVOID</t>
        </is>
      </c>
    </row>
    <row r="405">
      <c r="A405" t="inlineStr">
        <is>
          <t>LI</t>
        </is>
      </c>
      <c r="B405" t="inlineStr">
        <is>
          <t>2026-07-30</t>
        </is>
      </c>
      <c r="C405" t="n">
        <v>13.36</v>
      </c>
      <c r="D405" t="n">
        <v>65.29000000000001</v>
      </c>
      <c r="E405" t="n">
        <v>0.91</v>
      </c>
      <c r="F405" t="n">
        <v>-25.07</v>
      </c>
      <c r="G405" t="n">
        <v>-49.94</v>
      </c>
      <c r="H405" t="n">
        <v>15</v>
      </c>
      <c r="I405" t="n">
        <v>0</v>
      </c>
      <c r="J405" t="n">
        <v>15</v>
      </c>
      <c r="K405" t="b">
        <v>0</v>
      </c>
      <c r="L405" t="b">
        <v>0</v>
      </c>
      <c r="M405" t="inlineStr">
        <is>
          <t>AVOID</t>
        </is>
      </c>
    </row>
    <row r="406">
      <c r="A406" t="inlineStr">
        <is>
          <t>LILA</t>
        </is>
      </c>
      <c r="B406" t="inlineStr">
        <is>
          <t>2026-07-30</t>
        </is>
      </c>
      <c r="C406" t="n">
        <v>8.119999999999999</v>
      </c>
      <c r="D406" t="n">
        <v>65.67</v>
      </c>
      <c r="E406" t="n">
        <v>0.84</v>
      </c>
      <c r="F406" t="n">
        <v>47.29</v>
      </c>
      <c r="G406" t="n">
        <v>-4.64</v>
      </c>
      <c r="H406" t="n">
        <v>60</v>
      </c>
      <c r="I406" t="n">
        <v>45</v>
      </c>
      <c r="J406" t="n">
        <v>100</v>
      </c>
      <c r="K406" t="b">
        <v>0</v>
      </c>
      <c r="L406" t="b">
        <v>0</v>
      </c>
      <c r="M406" t="inlineStr">
        <is>
          <t>HIGH CONVICTION</t>
        </is>
      </c>
    </row>
    <row r="407">
      <c r="A407" t="inlineStr">
        <is>
          <t>LILAK</t>
        </is>
      </c>
      <c r="B407" t="inlineStr">
        <is>
          <t>2026-07-30</t>
        </is>
      </c>
      <c r="C407" t="n">
        <v>7.99</v>
      </c>
      <c r="D407" t="n">
        <v>65.58</v>
      </c>
      <c r="E407" t="n">
        <v>0.44</v>
      </c>
      <c r="F407" t="n">
        <v>41.62</v>
      </c>
      <c r="G407" t="n">
        <v>-4.59</v>
      </c>
      <c r="H407" t="n">
        <v>60</v>
      </c>
      <c r="I407" t="n">
        <v>45</v>
      </c>
      <c r="J407" t="n">
        <v>100</v>
      </c>
      <c r="K407" t="b">
        <v>0</v>
      </c>
      <c r="L407" t="b">
        <v>0</v>
      </c>
      <c r="M407" t="inlineStr">
        <is>
          <t>HIGH CONVICTION</t>
        </is>
      </c>
    </row>
    <row r="408">
      <c r="A408" t="inlineStr">
        <is>
          <t>LIND</t>
        </is>
      </c>
      <c r="B408" t="inlineStr">
        <is>
          <t>2026-07-30</t>
        </is>
      </c>
      <c r="C408" t="n">
        <v>29.75</v>
      </c>
      <c r="D408" t="n">
        <v>72.28</v>
      </c>
      <c r="E408" t="n">
        <v>0.6899999999999999</v>
      </c>
      <c r="F408" t="n">
        <v>60.55</v>
      </c>
      <c r="G408" t="n">
        <v>0</v>
      </c>
      <c r="H408" t="n">
        <v>60</v>
      </c>
      <c r="I408" t="n">
        <v>45</v>
      </c>
      <c r="J408" t="n">
        <v>100</v>
      </c>
      <c r="K408" t="b">
        <v>1</v>
      </c>
      <c r="L408" t="b">
        <v>0</v>
      </c>
      <c r="M408" t="inlineStr">
        <is>
          <t>ELITE LEADER</t>
        </is>
      </c>
    </row>
    <row r="409">
      <c r="A409" t="inlineStr">
        <is>
          <t>LITE</t>
        </is>
      </c>
      <c r="B409" t="inlineStr">
        <is>
          <t>2026-07-30</t>
        </is>
      </c>
      <c r="C409" t="n">
        <v>689.92</v>
      </c>
      <c r="D409" t="n">
        <v>41.39</v>
      </c>
      <c r="E409" t="n">
        <v>0.9</v>
      </c>
      <c r="F409" t="n">
        <v>-23.54</v>
      </c>
      <c r="G409" t="n">
        <v>-34.49</v>
      </c>
      <c r="H409" t="n">
        <v>25</v>
      </c>
      <c r="I409" t="n">
        <v>25</v>
      </c>
      <c r="J409" t="n">
        <v>25</v>
      </c>
      <c r="K409" t="b">
        <v>0</v>
      </c>
      <c r="L409" t="b">
        <v>0</v>
      </c>
      <c r="M409" t="inlineStr">
        <is>
          <t>AVOID</t>
        </is>
      </c>
    </row>
    <row r="410">
      <c r="A410" t="inlineStr">
        <is>
          <t>LIVN</t>
        </is>
      </c>
      <c r="B410" t="inlineStr">
        <is>
          <t>2026-07-30</t>
        </is>
      </c>
      <c r="C410" t="n">
        <v>80.84999999999999</v>
      </c>
      <c r="D410" t="n">
        <v>45.15</v>
      </c>
      <c r="E410" t="n">
        <v>0.57</v>
      </c>
      <c r="F410" t="n">
        <v>34.53</v>
      </c>
      <c r="G410" t="n">
        <v>-3.78</v>
      </c>
      <c r="H410" t="n">
        <v>45</v>
      </c>
      <c r="I410" t="n">
        <v>85</v>
      </c>
      <c r="J410" t="n">
        <v>95</v>
      </c>
      <c r="K410" t="b">
        <v>0</v>
      </c>
      <c r="L410" t="b">
        <v>0</v>
      </c>
      <c r="M410" t="inlineStr">
        <is>
          <t>HIGH CONVICTION</t>
        </is>
      </c>
    </row>
    <row r="411">
      <c r="A411" t="inlineStr">
        <is>
          <t>LKQ</t>
        </is>
      </c>
      <c r="B411" t="inlineStr">
        <is>
          <t>2026-07-30</t>
        </is>
      </c>
      <c r="C411" t="n">
        <v>22.73</v>
      </c>
      <c r="D411" t="n">
        <v>35.33</v>
      </c>
      <c r="E411" t="n">
        <v>2.69</v>
      </c>
      <c r="F411" t="n">
        <v>-27.18</v>
      </c>
      <c r="G411" t="n">
        <v>-33.27</v>
      </c>
      <c r="H411" t="n">
        <v>0</v>
      </c>
      <c r="I411" t="n">
        <v>15</v>
      </c>
      <c r="J411" t="n">
        <v>30</v>
      </c>
      <c r="K411" t="b">
        <v>0</v>
      </c>
      <c r="L411" t="b">
        <v>0</v>
      </c>
      <c r="M411" t="inlineStr">
        <is>
          <t>AVOID</t>
        </is>
      </c>
    </row>
    <row r="412">
      <c r="A412" t="inlineStr">
        <is>
          <t>LNT</t>
        </is>
      </c>
      <c r="B412" t="inlineStr">
        <is>
          <t>2026-07-30</t>
        </is>
      </c>
      <c r="C412" t="n">
        <v>71.04000000000001</v>
      </c>
      <c r="D412" t="n">
        <v>27.45</v>
      </c>
      <c r="E412" t="n">
        <v>0.75</v>
      </c>
      <c r="F412" t="n">
        <v>-3.25</v>
      </c>
      <c r="G412" t="n">
        <v>-8.949999999999999</v>
      </c>
      <c r="H412" t="n">
        <v>35</v>
      </c>
      <c r="I412" t="n">
        <v>25</v>
      </c>
      <c r="J412" t="n">
        <v>45</v>
      </c>
      <c r="K412" t="b">
        <v>0</v>
      </c>
      <c r="L412" t="b">
        <v>0</v>
      </c>
      <c r="M412" t="inlineStr">
        <is>
          <t>AVOID</t>
        </is>
      </c>
    </row>
    <row r="413">
      <c r="A413" t="inlineStr">
        <is>
          <t>LNTH</t>
        </is>
      </c>
      <c r="B413" t="inlineStr">
        <is>
          <t>2026-07-30</t>
        </is>
      </c>
      <c r="C413" t="n">
        <v>102.38</v>
      </c>
      <c r="D413" t="n">
        <v>45.23</v>
      </c>
      <c r="E413" t="n">
        <v>0.82</v>
      </c>
      <c r="F413" t="n">
        <v>20.99</v>
      </c>
      <c r="G413" t="n">
        <v>-7.72</v>
      </c>
      <c r="H413" t="n">
        <v>35</v>
      </c>
      <c r="I413" t="n">
        <v>65</v>
      </c>
      <c r="J413" t="n">
        <v>65</v>
      </c>
      <c r="K413" t="b">
        <v>0</v>
      </c>
      <c r="L413" t="b">
        <v>0</v>
      </c>
      <c r="M413" t="inlineStr">
        <is>
          <t>AVOID</t>
        </is>
      </c>
    </row>
    <row r="414">
      <c r="A414" t="inlineStr">
        <is>
          <t>LOGI</t>
        </is>
      </c>
      <c r="B414" t="inlineStr">
        <is>
          <t>2026-07-30</t>
        </is>
      </c>
      <c r="C414" t="n">
        <v>100.76</v>
      </c>
      <c r="D414" t="n">
        <v>48.04</v>
      </c>
      <c r="E414" t="n">
        <v>1.18</v>
      </c>
      <c r="F414" t="n">
        <v>1.49</v>
      </c>
      <c r="G414" t="n">
        <v>-20.47</v>
      </c>
      <c r="H414" t="n">
        <v>10</v>
      </c>
      <c r="I414" t="n">
        <v>55</v>
      </c>
      <c r="J414" t="n">
        <v>10</v>
      </c>
      <c r="K414" t="b">
        <v>0</v>
      </c>
      <c r="L414" t="b">
        <v>0</v>
      </c>
      <c r="M414" t="inlineStr">
        <is>
          <t>AVOID</t>
        </is>
      </c>
    </row>
    <row r="415">
      <c r="A415" t="inlineStr">
        <is>
          <t>LOPE</t>
        </is>
      </c>
      <c r="B415" t="inlineStr">
        <is>
          <t>2026-07-30</t>
        </is>
      </c>
      <c r="C415" t="n">
        <v>150.2</v>
      </c>
      <c r="D415" t="n">
        <v>49.25</v>
      </c>
      <c r="E415" t="n">
        <v>0.68</v>
      </c>
      <c r="F415" t="n">
        <v>-11.16</v>
      </c>
      <c r="G415" t="n">
        <v>-31.9</v>
      </c>
      <c r="H415" t="n">
        <v>20</v>
      </c>
      <c r="I415" t="n">
        <v>60</v>
      </c>
      <c r="J415" t="n">
        <v>20</v>
      </c>
      <c r="K415" t="b">
        <v>0</v>
      </c>
      <c r="L415" t="b">
        <v>0</v>
      </c>
      <c r="M415" t="inlineStr">
        <is>
          <t>AVOID</t>
        </is>
      </c>
    </row>
    <row r="416">
      <c r="A416" t="inlineStr">
        <is>
          <t>LPLA</t>
        </is>
      </c>
      <c r="B416" t="inlineStr">
        <is>
          <t>2026-07-30</t>
        </is>
      </c>
      <c r="C416" t="n">
        <v>339.27</v>
      </c>
      <c r="D416" t="n">
        <v>70.97</v>
      </c>
      <c r="E416" t="n">
        <v>0.64</v>
      </c>
      <c r="F416" t="n">
        <v>1.65</v>
      </c>
      <c r="G416" t="n">
        <v>-14.66</v>
      </c>
      <c r="H416" t="n">
        <v>50</v>
      </c>
      <c r="I416" t="n">
        <v>45</v>
      </c>
      <c r="J416" t="n">
        <v>50</v>
      </c>
      <c r="K416" t="b">
        <v>0</v>
      </c>
      <c r="L416" t="b">
        <v>0</v>
      </c>
      <c r="M416" t="inlineStr">
        <is>
          <t>AVOID</t>
        </is>
      </c>
    </row>
    <row r="417">
      <c r="A417" t="inlineStr">
        <is>
          <t>LPRO</t>
        </is>
      </c>
      <c r="B417" t="inlineStr">
        <is>
          <t>2026-07-30</t>
        </is>
      </c>
      <c r="C417" t="n">
        <v>3.14</v>
      </c>
      <c r="D417" t="n">
        <v>54.55</v>
      </c>
      <c r="E417" t="n">
        <v>0.47</v>
      </c>
      <c r="F417" t="n">
        <v>77.40000000000001</v>
      </c>
      <c r="G417" t="n">
        <v>-0.32</v>
      </c>
      <c r="H417" t="n">
        <v>60</v>
      </c>
      <c r="I417" t="n">
        <v>85</v>
      </c>
      <c r="J417" t="n">
        <v>100</v>
      </c>
      <c r="K417" t="b">
        <v>1</v>
      </c>
      <c r="L417" t="b">
        <v>0</v>
      </c>
      <c r="M417" t="inlineStr">
        <is>
          <t>ELITE LEADER</t>
        </is>
      </c>
    </row>
    <row r="418">
      <c r="A418" t="inlineStr">
        <is>
          <t>LRCX</t>
        </is>
      </c>
      <c r="B418" t="inlineStr">
        <is>
          <t>2026-07-30</t>
        </is>
      </c>
      <c r="C418" t="n">
        <v>300.42</v>
      </c>
      <c r="D418" t="n">
        <v>38.11</v>
      </c>
      <c r="E418" t="n">
        <v>1.22</v>
      </c>
      <c r="F418" t="n">
        <v>16.59</v>
      </c>
      <c r="G418" t="n">
        <v>-30.67</v>
      </c>
      <c r="H418" t="n">
        <v>25</v>
      </c>
      <c r="I418" t="n">
        <v>40</v>
      </c>
      <c r="J418" t="n">
        <v>45</v>
      </c>
      <c r="K418" t="b">
        <v>0</v>
      </c>
      <c r="L418" t="b">
        <v>0</v>
      </c>
      <c r="M418" t="inlineStr">
        <is>
          <t>AVOID</t>
        </is>
      </c>
    </row>
    <row r="419">
      <c r="A419" t="inlineStr">
        <is>
          <t>LSCC</t>
        </is>
      </c>
      <c r="B419" t="inlineStr">
        <is>
          <t>2026-07-30</t>
        </is>
      </c>
      <c r="C419" t="n">
        <v>125</v>
      </c>
      <c r="D419" t="n">
        <v>41.13</v>
      </c>
      <c r="E419" t="n">
        <v>0.61</v>
      </c>
      <c r="F419" t="n">
        <v>2.22</v>
      </c>
      <c r="G419" t="n">
        <v>-19.5</v>
      </c>
      <c r="H419" t="n">
        <v>25</v>
      </c>
      <c r="I419" t="n">
        <v>25</v>
      </c>
      <c r="J419" t="n">
        <v>25</v>
      </c>
      <c r="K419" t="b">
        <v>0</v>
      </c>
      <c r="L419" t="b">
        <v>0</v>
      </c>
      <c r="M419" t="inlineStr">
        <is>
          <t>AVOID</t>
        </is>
      </c>
    </row>
    <row r="420">
      <c r="A420" t="inlineStr">
        <is>
          <t>LSTR</t>
        </is>
      </c>
      <c r="B420" t="inlineStr">
        <is>
          <t>2026-07-30</t>
        </is>
      </c>
      <c r="C420" t="n">
        <v>169.31</v>
      </c>
      <c r="D420" t="n">
        <v>17.35</v>
      </c>
      <c r="E420" t="n">
        <v>1.62</v>
      </c>
      <c r="F420" t="n">
        <v>-7.81</v>
      </c>
      <c r="G420" t="n">
        <v>-24.88</v>
      </c>
      <c r="H420" t="n">
        <v>25</v>
      </c>
      <c r="I420" t="n">
        <v>40</v>
      </c>
      <c r="J420" t="n">
        <v>45</v>
      </c>
      <c r="K420" t="b">
        <v>0</v>
      </c>
      <c r="L420" t="b">
        <v>0</v>
      </c>
      <c r="M420" t="inlineStr">
        <is>
          <t>AVOID</t>
        </is>
      </c>
    </row>
    <row r="421">
      <c r="A421" t="inlineStr">
        <is>
          <t>LULU</t>
        </is>
      </c>
      <c r="B421" t="inlineStr">
        <is>
          <t>2026-07-30</t>
        </is>
      </c>
      <c r="C421" t="n">
        <v>118.6</v>
      </c>
      <c r="D421" t="n">
        <v>48.71</v>
      </c>
      <c r="E421" t="n">
        <v>0.5</v>
      </c>
      <c r="F421" t="n">
        <v>-13.87</v>
      </c>
      <c r="G421" t="n">
        <v>-45.06</v>
      </c>
      <c r="H421" t="n">
        <v>10</v>
      </c>
      <c r="I421" t="n">
        <v>40</v>
      </c>
      <c r="J421" t="n">
        <v>10</v>
      </c>
      <c r="K421" t="b">
        <v>0</v>
      </c>
      <c r="L421" t="b">
        <v>0</v>
      </c>
      <c r="M421" t="inlineStr">
        <is>
          <t>AVOID</t>
        </is>
      </c>
    </row>
    <row r="422">
      <c r="A422" t="inlineStr">
        <is>
          <t>LUNG</t>
        </is>
      </c>
      <c r="B422" t="inlineStr">
        <is>
          <t>2026-07-30</t>
        </is>
      </c>
      <c r="C422" t="n">
        <v>1.63</v>
      </c>
      <c r="D422" t="n">
        <v>55</v>
      </c>
      <c r="E422" t="n">
        <v>10.24</v>
      </c>
      <c r="F422" t="n">
        <v>27.43</v>
      </c>
      <c r="G422" t="n">
        <v>-48.22</v>
      </c>
      <c r="H422" t="n">
        <v>40</v>
      </c>
      <c r="I422" t="n">
        <v>85</v>
      </c>
      <c r="J422" t="n">
        <v>90</v>
      </c>
      <c r="K422" t="b">
        <v>0</v>
      </c>
      <c r="L422" t="b">
        <v>0</v>
      </c>
      <c r="M422" t="inlineStr">
        <is>
          <t>WATCH</t>
        </is>
      </c>
    </row>
    <row r="423">
      <c r="A423" t="inlineStr">
        <is>
          <t>LYFT</t>
        </is>
      </c>
      <c r="B423" t="inlineStr">
        <is>
          <t>2026-07-30</t>
        </is>
      </c>
      <c r="C423" t="n">
        <v>15.41</v>
      </c>
      <c r="D423" t="n">
        <v>47.79</v>
      </c>
      <c r="E423" t="n">
        <v>0.49</v>
      </c>
      <c r="F423" t="n">
        <v>8.94</v>
      </c>
      <c r="G423" t="n">
        <v>-37.26</v>
      </c>
      <c r="H423" t="n">
        <v>30</v>
      </c>
      <c r="I423" t="n">
        <v>60</v>
      </c>
      <c r="J423" t="n">
        <v>30</v>
      </c>
      <c r="K423" t="b">
        <v>0</v>
      </c>
      <c r="L423" t="b">
        <v>0</v>
      </c>
      <c r="M423" t="inlineStr">
        <is>
          <t>AVOID</t>
        </is>
      </c>
    </row>
    <row r="424">
      <c r="A424" t="inlineStr">
        <is>
          <t>MANH</t>
        </is>
      </c>
      <c r="B424" t="inlineStr">
        <is>
          <t>2026-07-30</t>
        </is>
      </c>
      <c r="C424" t="n">
        <v>189.6</v>
      </c>
      <c r="D424" t="n">
        <v>66.72</v>
      </c>
      <c r="E424" t="n">
        <v>1.18</v>
      </c>
      <c r="F424" t="n">
        <v>37.5</v>
      </c>
      <c r="G424" t="n">
        <v>-16.82</v>
      </c>
      <c r="H424" t="n">
        <v>50</v>
      </c>
      <c r="I424" t="n">
        <v>60</v>
      </c>
      <c r="J424" t="n">
        <v>80</v>
      </c>
      <c r="K424" t="b">
        <v>0</v>
      </c>
      <c r="L424" t="b">
        <v>0</v>
      </c>
      <c r="M424" t="inlineStr">
        <is>
          <t>AVOID</t>
        </is>
      </c>
    </row>
    <row r="425">
      <c r="A425" t="inlineStr">
        <is>
          <t>MAR</t>
        </is>
      </c>
      <c r="B425" t="inlineStr">
        <is>
          <t>2026-07-30</t>
        </is>
      </c>
      <c r="C425" t="n">
        <v>375.05</v>
      </c>
      <c r="D425" t="n">
        <v>49.16</v>
      </c>
      <c r="E425" t="n">
        <v>0.65</v>
      </c>
      <c r="F425" t="n">
        <v>3.9</v>
      </c>
      <c r="G425" t="n">
        <v>-6.83</v>
      </c>
      <c r="H425" t="n">
        <v>35</v>
      </c>
      <c r="I425" t="n">
        <v>65</v>
      </c>
      <c r="J425" t="n">
        <v>45</v>
      </c>
      <c r="K425" t="b">
        <v>0</v>
      </c>
      <c r="L425" t="b">
        <v>0</v>
      </c>
      <c r="M425" t="inlineStr">
        <is>
          <t>AVOID</t>
        </is>
      </c>
    </row>
    <row r="426">
      <c r="A426" t="inlineStr">
        <is>
          <t>MARA</t>
        </is>
      </c>
      <c r="B426" t="inlineStr">
        <is>
          <t>2026-07-30</t>
        </is>
      </c>
      <c r="C426" t="n">
        <v>11.91</v>
      </c>
      <c r="D426" t="n">
        <v>46.12</v>
      </c>
      <c r="E426" t="n">
        <v>0.72</v>
      </c>
      <c r="F426" t="n">
        <v>-0.63</v>
      </c>
      <c r="G426" t="n">
        <v>-47.83</v>
      </c>
      <c r="H426" t="n">
        <v>25</v>
      </c>
      <c r="I426" t="n">
        <v>65</v>
      </c>
      <c r="J426" t="n">
        <v>25</v>
      </c>
      <c r="K426" t="b">
        <v>0</v>
      </c>
      <c r="L426" t="b">
        <v>0</v>
      </c>
      <c r="M426" t="inlineStr">
        <is>
          <t>AVOID</t>
        </is>
      </c>
    </row>
    <row r="427">
      <c r="A427" t="inlineStr">
        <is>
          <t>MAT</t>
        </is>
      </c>
      <c r="B427" t="inlineStr">
        <is>
          <t>2026-07-30</t>
        </is>
      </c>
      <c r="C427" t="n">
        <v>15.16</v>
      </c>
      <c r="D427" t="n">
        <v>72.56999999999999</v>
      </c>
      <c r="E427" t="n">
        <v>0.23</v>
      </c>
      <c r="F427" t="n">
        <v>0.5600000000000001</v>
      </c>
      <c r="G427" t="n">
        <v>-31.57</v>
      </c>
      <c r="H427" t="n">
        <v>25</v>
      </c>
      <c r="I427" t="n">
        <v>20</v>
      </c>
      <c r="J427" t="n">
        <v>25</v>
      </c>
      <c r="K427" t="b">
        <v>0</v>
      </c>
      <c r="L427" t="b">
        <v>0</v>
      </c>
      <c r="M427" t="inlineStr">
        <is>
          <t>AVOID</t>
        </is>
      </c>
    </row>
    <row r="428">
      <c r="A428" t="inlineStr">
        <is>
          <t>MCHP</t>
        </is>
      </c>
      <c r="B428" t="inlineStr">
        <is>
          <t>2026-07-30</t>
        </is>
      </c>
      <c r="C428" t="n">
        <v>75.27</v>
      </c>
      <c r="D428" t="n">
        <v>31.45</v>
      </c>
      <c r="E428" t="n">
        <v>0.5600000000000001</v>
      </c>
      <c r="F428" t="n">
        <v>-18.58</v>
      </c>
      <c r="G428" t="n">
        <v>-26.72</v>
      </c>
      <c r="H428" t="n">
        <v>25</v>
      </c>
      <c r="I428" t="n">
        <v>25</v>
      </c>
      <c r="J428" t="n">
        <v>25</v>
      </c>
      <c r="K428" t="b">
        <v>0</v>
      </c>
      <c r="L428" t="b">
        <v>0</v>
      </c>
      <c r="M428" t="inlineStr">
        <is>
          <t>AVOID</t>
        </is>
      </c>
    </row>
    <row r="429">
      <c r="A429" t="inlineStr">
        <is>
          <t>MDB</t>
        </is>
      </c>
      <c r="B429" t="inlineStr">
        <is>
          <t>2026-07-30</t>
        </is>
      </c>
      <c r="C429" t="n">
        <v>322.78</v>
      </c>
      <c r="D429" t="n">
        <v>40.71</v>
      </c>
      <c r="E429" t="n">
        <v>0.8100000000000001</v>
      </c>
      <c r="F429" t="n">
        <v>28.68</v>
      </c>
      <c r="G429" t="n">
        <v>-26.74</v>
      </c>
      <c r="H429" t="n">
        <v>10</v>
      </c>
      <c r="I429" t="n">
        <v>15</v>
      </c>
      <c r="J429" t="n">
        <v>30</v>
      </c>
      <c r="K429" t="b">
        <v>0</v>
      </c>
      <c r="L429" t="b">
        <v>0</v>
      </c>
      <c r="M429" t="inlineStr">
        <is>
          <t>AVOID</t>
        </is>
      </c>
    </row>
    <row r="430">
      <c r="A430" t="inlineStr">
        <is>
          <t>MDGL</t>
        </is>
      </c>
      <c r="B430" t="inlineStr">
        <is>
          <t>2026-07-30</t>
        </is>
      </c>
      <c r="C430" t="n">
        <v>485.16</v>
      </c>
      <c r="D430" t="n">
        <v>34.97</v>
      </c>
      <c r="E430" t="n">
        <v>3.83</v>
      </c>
      <c r="F430" t="n">
        <v>-6.23</v>
      </c>
      <c r="G430" t="n">
        <v>-19.52</v>
      </c>
      <c r="H430" t="n">
        <v>20</v>
      </c>
      <c r="I430" t="n">
        <v>15</v>
      </c>
      <c r="J430" t="n">
        <v>50</v>
      </c>
      <c r="K430" t="b">
        <v>0</v>
      </c>
      <c r="L430" t="b">
        <v>0</v>
      </c>
      <c r="M430" t="inlineStr">
        <is>
          <t>AVOID</t>
        </is>
      </c>
    </row>
    <row r="431">
      <c r="A431" t="inlineStr">
        <is>
          <t>MDLZ</t>
        </is>
      </c>
      <c r="B431" t="inlineStr">
        <is>
          <t>2026-07-30</t>
        </is>
      </c>
      <c r="C431" t="n">
        <v>63.26</v>
      </c>
      <c r="D431" t="n">
        <v>64.86</v>
      </c>
      <c r="E431" t="n">
        <v>0.58</v>
      </c>
      <c r="F431" t="n">
        <v>3.83</v>
      </c>
      <c r="G431" t="n">
        <v>-2.66</v>
      </c>
      <c r="H431" t="n">
        <v>50</v>
      </c>
      <c r="I431" t="n">
        <v>70</v>
      </c>
      <c r="J431" t="n">
        <v>70</v>
      </c>
      <c r="K431" t="b">
        <v>0</v>
      </c>
      <c r="L431" t="b">
        <v>0</v>
      </c>
      <c r="M431" t="inlineStr">
        <is>
          <t>AVOID</t>
        </is>
      </c>
    </row>
    <row r="432">
      <c r="A432" t="inlineStr">
        <is>
          <t>MEDP</t>
        </is>
      </c>
      <c r="B432" t="inlineStr">
        <is>
          <t>2026-07-30</t>
        </is>
      </c>
      <c r="C432" t="n">
        <v>583.42</v>
      </c>
      <c r="D432" t="n">
        <v>62.92</v>
      </c>
      <c r="E432" t="n">
        <v>0.48</v>
      </c>
      <c r="F432" t="n">
        <v>39.35</v>
      </c>
      <c r="G432" t="n">
        <v>-5.99</v>
      </c>
      <c r="H432" t="n">
        <v>50</v>
      </c>
      <c r="I432" t="n">
        <v>70</v>
      </c>
      <c r="J432" t="n">
        <v>90</v>
      </c>
      <c r="K432" t="b">
        <v>0</v>
      </c>
      <c r="L432" t="b">
        <v>0</v>
      </c>
      <c r="M432" t="inlineStr">
        <is>
          <t>WATCH</t>
        </is>
      </c>
    </row>
    <row r="433">
      <c r="A433" t="inlineStr">
        <is>
          <t>MELI</t>
        </is>
      </c>
      <c r="B433" t="inlineStr">
        <is>
          <t>2026-07-30</t>
        </is>
      </c>
      <c r="C433" t="n">
        <v>1865.08</v>
      </c>
      <c r="D433" t="n">
        <v>52.81</v>
      </c>
      <c r="E433" t="n">
        <v>0.65</v>
      </c>
      <c r="F433" t="n">
        <v>4.04</v>
      </c>
      <c r="G433" t="n">
        <v>-25.72</v>
      </c>
      <c r="H433" t="n">
        <v>35</v>
      </c>
      <c r="I433" t="n">
        <v>60</v>
      </c>
      <c r="J433" t="n">
        <v>35</v>
      </c>
      <c r="K433" t="b">
        <v>0</v>
      </c>
      <c r="L433" t="b">
        <v>0</v>
      </c>
      <c r="M433" t="inlineStr">
        <is>
          <t>AVOID</t>
        </is>
      </c>
    </row>
    <row r="434">
      <c r="A434" t="inlineStr">
        <is>
          <t>MEOH</t>
        </is>
      </c>
      <c r="B434" t="inlineStr">
        <is>
          <t>2026-07-30</t>
        </is>
      </c>
      <c r="C434" t="n">
        <v>55.13</v>
      </c>
      <c r="D434" t="n">
        <v>67.34</v>
      </c>
      <c r="E434" t="n">
        <v>0.6899999999999999</v>
      </c>
      <c r="F434" t="n">
        <v>-15.6</v>
      </c>
      <c r="G434" t="n">
        <v>-15.83</v>
      </c>
      <c r="H434" t="n">
        <v>50</v>
      </c>
      <c r="I434" t="n">
        <v>45</v>
      </c>
      <c r="J434" t="n">
        <v>50</v>
      </c>
      <c r="K434" t="b">
        <v>0</v>
      </c>
      <c r="L434" t="b">
        <v>0</v>
      </c>
      <c r="M434" t="inlineStr">
        <is>
          <t>AVOID</t>
        </is>
      </c>
    </row>
    <row r="435">
      <c r="A435" t="inlineStr">
        <is>
          <t>MERC</t>
        </is>
      </c>
      <c r="B435" t="inlineStr">
        <is>
          <t>2026-07-30</t>
        </is>
      </c>
      <c r="C435" t="n">
        <v>0.59</v>
      </c>
      <c r="D435" t="n">
        <v>43.85</v>
      </c>
      <c r="E435" t="n">
        <v>0.28</v>
      </c>
      <c r="F435" t="n">
        <v>-47.12</v>
      </c>
      <c r="G435" t="n">
        <v>-85.27</v>
      </c>
      <c r="H435" t="n">
        <v>0</v>
      </c>
      <c r="I435" t="n">
        <v>0</v>
      </c>
      <c r="J435" t="n">
        <v>0</v>
      </c>
      <c r="K435" t="b">
        <v>0</v>
      </c>
      <c r="L435" t="b">
        <v>0</v>
      </c>
      <c r="M435" t="inlineStr">
        <is>
          <t>AVOID</t>
        </is>
      </c>
    </row>
    <row r="436">
      <c r="A436" t="inlineStr">
        <is>
          <t>MGNI</t>
        </is>
      </c>
      <c r="B436" t="inlineStr">
        <is>
          <t>2026-07-30</t>
        </is>
      </c>
      <c r="C436" t="n">
        <v>19.32</v>
      </c>
      <c r="D436" t="n">
        <v>41.02</v>
      </c>
      <c r="E436" t="n">
        <v>0.42</v>
      </c>
      <c r="F436" t="n">
        <v>50.7</v>
      </c>
      <c r="G436" t="n">
        <v>-27.15</v>
      </c>
      <c r="H436" t="n">
        <v>45</v>
      </c>
      <c r="I436" t="n">
        <v>60</v>
      </c>
      <c r="J436" t="n">
        <v>85</v>
      </c>
      <c r="K436" t="b">
        <v>0</v>
      </c>
      <c r="L436" t="b">
        <v>0</v>
      </c>
      <c r="M436" t="inlineStr">
        <is>
          <t>WATCH</t>
        </is>
      </c>
    </row>
    <row r="437">
      <c r="A437" t="inlineStr">
        <is>
          <t>MGNX</t>
        </is>
      </c>
      <c r="B437" t="inlineStr">
        <is>
          <t>2026-07-30</t>
        </is>
      </c>
      <c r="C437" t="n">
        <v>3.8</v>
      </c>
      <c r="D437" t="n">
        <v>40.98</v>
      </c>
      <c r="E437" t="n">
        <v>0.17</v>
      </c>
      <c r="F437" t="n">
        <v>23.21</v>
      </c>
      <c r="G437" t="n">
        <v>-21.91</v>
      </c>
      <c r="H437" t="n">
        <v>25</v>
      </c>
      <c r="I437" t="n">
        <v>25</v>
      </c>
      <c r="J437" t="n">
        <v>45</v>
      </c>
      <c r="K437" t="b">
        <v>0</v>
      </c>
      <c r="L437" t="b">
        <v>0</v>
      </c>
      <c r="M437" t="inlineStr">
        <is>
          <t>AVOID</t>
        </is>
      </c>
    </row>
    <row r="438">
      <c r="A438" t="inlineStr">
        <is>
          <t>MGTX</t>
        </is>
      </c>
      <c r="B438" t="inlineStr">
        <is>
          <t>2026-07-30</t>
        </is>
      </c>
      <c r="C438" t="n">
        <v>11.98</v>
      </c>
      <c r="D438" t="n">
        <v>34.23</v>
      </c>
      <c r="E438" t="n">
        <v>0.33</v>
      </c>
      <c r="F438" t="n">
        <v>29.93</v>
      </c>
      <c r="G438" t="n">
        <v>-18.28</v>
      </c>
      <c r="H438" t="n">
        <v>45</v>
      </c>
      <c r="I438" t="n">
        <v>45</v>
      </c>
      <c r="J438" t="n">
        <v>65</v>
      </c>
      <c r="K438" t="b">
        <v>0</v>
      </c>
      <c r="L438" t="b">
        <v>0</v>
      </c>
      <c r="M438" t="inlineStr">
        <is>
          <t>AVOID</t>
        </is>
      </c>
    </row>
    <row r="439">
      <c r="A439" t="inlineStr">
        <is>
          <t>MIDD</t>
        </is>
      </c>
      <c r="B439" t="inlineStr">
        <is>
          <t>2026-07-30</t>
        </is>
      </c>
      <c r="C439" t="n">
        <v>132.88</v>
      </c>
      <c r="D439" t="n">
        <v>44.34</v>
      </c>
      <c r="E439" t="n">
        <v>0.27</v>
      </c>
      <c r="F439" t="n">
        <v>17.68</v>
      </c>
      <c r="G439" t="n">
        <v>-7.83</v>
      </c>
      <c r="H439" t="n">
        <v>45</v>
      </c>
      <c r="I439" t="n">
        <v>60</v>
      </c>
      <c r="J439" t="n">
        <v>65</v>
      </c>
      <c r="K439" t="b">
        <v>0</v>
      </c>
      <c r="L439" t="b">
        <v>0</v>
      </c>
      <c r="M439" t="inlineStr">
        <is>
          <t>AVOID</t>
        </is>
      </c>
    </row>
    <row r="440">
      <c r="A440" t="inlineStr">
        <is>
          <t>MIRM</t>
        </is>
      </c>
      <c r="B440" t="inlineStr">
        <is>
          <t>2026-07-30</t>
        </is>
      </c>
      <c r="C440" t="n">
        <v>111.1</v>
      </c>
      <c r="D440" t="n">
        <v>30.45</v>
      </c>
      <c r="E440" t="n">
        <v>0.54</v>
      </c>
      <c r="F440" t="n">
        <v>14.17</v>
      </c>
      <c r="G440" t="n">
        <v>-13.59</v>
      </c>
      <c r="H440" t="n">
        <v>45</v>
      </c>
      <c r="I440" t="n">
        <v>45</v>
      </c>
      <c r="J440" t="n">
        <v>55</v>
      </c>
      <c r="K440" t="b">
        <v>0</v>
      </c>
      <c r="L440" t="b">
        <v>0</v>
      </c>
      <c r="M440" t="inlineStr">
        <is>
          <t>AVOID</t>
        </is>
      </c>
    </row>
    <row r="441">
      <c r="A441" t="inlineStr">
        <is>
          <t>MITK</t>
        </is>
      </c>
      <c r="B441" t="inlineStr">
        <is>
          <t>2026-07-30</t>
        </is>
      </c>
      <c r="C441" t="n">
        <v>17.13</v>
      </c>
      <c r="D441" t="n">
        <v>29.85</v>
      </c>
      <c r="E441" t="n">
        <v>0.43</v>
      </c>
      <c r="F441" t="n">
        <v>22.71</v>
      </c>
      <c r="G441" t="n">
        <v>-14.95</v>
      </c>
      <c r="H441" t="n">
        <v>35</v>
      </c>
      <c r="I441" t="n">
        <v>25</v>
      </c>
      <c r="J441" t="n">
        <v>55</v>
      </c>
      <c r="K441" t="b">
        <v>0</v>
      </c>
      <c r="L441" t="b">
        <v>0</v>
      </c>
      <c r="M441" t="inlineStr">
        <is>
          <t>AVOID</t>
        </is>
      </c>
    </row>
    <row r="442">
      <c r="A442" t="inlineStr">
        <is>
          <t>MKSI</t>
        </is>
      </c>
      <c r="B442" t="inlineStr">
        <is>
          <t>2026-07-30</t>
        </is>
      </c>
      <c r="C442" t="n">
        <v>293.77</v>
      </c>
      <c r="D442" t="n">
        <v>31.59</v>
      </c>
      <c r="E442" t="n">
        <v>1.58</v>
      </c>
      <c r="F442" t="n">
        <v>3.61</v>
      </c>
      <c r="G442" t="n">
        <v>-33.95</v>
      </c>
      <c r="H442" t="n">
        <v>25</v>
      </c>
      <c r="I442" t="n">
        <v>40</v>
      </c>
      <c r="J442" t="n">
        <v>45</v>
      </c>
      <c r="K442" t="b">
        <v>0</v>
      </c>
      <c r="L442" t="b">
        <v>0</v>
      </c>
      <c r="M442" t="inlineStr">
        <is>
          <t>AVOID</t>
        </is>
      </c>
    </row>
    <row r="443">
      <c r="A443" t="inlineStr">
        <is>
          <t>MKTX</t>
        </is>
      </c>
      <c r="B443" t="inlineStr">
        <is>
          <t>2026-07-30</t>
        </is>
      </c>
      <c r="C443" t="n">
        <v>162.87</v>
      </c>
      <c r="D443" t="n">
        <v>91.56</v>
      </c>
      <c r="E443" t="n">
        <v>9.02</v>
      </c>
      <c r="F443" t="n">
        <v>4.19</v>
      </c>
      <c r="G443" t="n">
        <v>-21.04</v>
      </c>
      <c r="H443" t="n">
        <v>40</v>
      </c>
      <c r="I443" t="n">
        <v>60</v>
      </c>
      <c r="J443" t="n">
        <v>70</v>
      </c>
      <c r="K443" t="b">
        <v>0</v>
      </c>
      <c r="L443" t="b">
        <v>0</v>
      </c>
      <c r="M443" t="inlineStr">
        <is>
          <t>AVOID</t>
        </is>
      </c>
    </row>
    <row r="444">
      <c r="A444" t="inlineStr">
        <is>
          <t>MLCO</t>
        </is>
      </c>
      <c r="B444" t="inlineStr">
        <is>
          <t>2026-07-30</t>
        </is>
      </c>
      <c r="C444" t="n">
        <v>5.82</v>
      </c>
      <c r="D444" t="n">
        <v>62.36</v>
      </c>
      <c r="E444" t="n">
        <v>0.46</v>
      </c>
      <c r="F444" t="n">
        <v>0.95</v>
      </c>
      <c r="G444" t="n">
        <v>-42.5</v>
      </c>
      <c r="H444" t="n">
        <v>25</v>
      </c>
      <c r="I444" t="n">
        <v>45</v>
      </c>
      <c r="J444" t="n">
        <v>25</v>
      </c>
      <c r="K444" t="b">
        <v>0</v>
      </c>
      <c r="L444" t="b">
        <v>0</v>
      </c>
      <c r="M444" t="inlineStr">
        <is>
          <t>AVOID</t>
        </is>
      </c>
    </row>
    <row r="445">
      <c r="A445" t="inlineStr">
        <is>
          <t>MMSI</t>
        </is>
      </c>
      <c r="B445" t="inlineStr">
        <is>
          <t>2026-07-30</t>
        </is>
      </c>
      <c r="C445" t="n">
        <v>82.65000000000001</v>
      </c>
      <c r="D445" t="n">
        <v>71.63</v>
      </c>
      <c r="E445" t="n">
        <v>1.13</v>
      </c>
      <c r="F445" t="n">
        <v>21.22</v>
      </c>
      <c r="G445" t="n">
        <v>-11.3</v>
      </c>
      <c r="H445" t="n">
        <v>50</v>
      </c>
      <c r="I445" t="n">
        <v>60</v>
      </c>
      <c r="J445" t="n">
        <v>70</v>
      </c>
      <c r="K445" t="b">
        <v>0</v>
      </c>
      <c r="L445" t="b">
        <v>0</v>
      </c>
      <c r="M445" t="inlineStr">
        <is>
          <t>AVOID</t>
        </is>
      </c>
    </row>
    <row r="446">
      <c r="A446" t="inlineStr">
        <is>
          <t>MMYT</t>
        </is>
      </c>
      <c r="B446" t="inlineStr">
        <is>
          <t>2026-07-30</t>
        </is>
      </c>
      <c r="C446" t="n">
        <v>56.9</v>
      </c>
      <c r="D446" t="n">
        <v>46.56</v>
      </c>
      <c r="E446" t="n">
        <v>0.5600000000000001</v>
      </c>
      <c r="F446" t="n">
        <v>20.53</v>
      </c>
      <c r="G446" t="n">
        <v>-44.87</v>
      </c>
      <c r="H446" t="n">
        <v>30</v>
      </c>
      <c r="I446" t="n">
        <v>45</v>
      </c>
      <c r="J446" t="n">
        <v>50</v>
      </c>
      <c r="K446" t="b">
        <v>0</v>
      </c>
      <c r="L446" t="b">
        <v>0</v>
      </c>
      <c r="M446" t="inlineStr">
        <is>
          <t>AVOID</t>
        </is>
      </c>
    </row>
    <row r="447">
      <c r="A447" t="inlineStr">
        <is>
          <t>MNRO</t>
        </is>
      </c>
      <c r="B447" t="inlineStr">
        <is>
          <t>2026-07-30</t>
        </is>
      </c>
      <c r="C447" t="n">
        <v>13.6</v>
      </c>
      <c r="D447" t="n">
        <v>28.8</v>
      </c>
      <c r="E447" t="n">
        <v>1.45</v>
      </c>
      <c r="F447" t="n">
        <v>-21.14</v>
      </c>
      <c r="G447" t="n">
        <v>-41.12</v>
      </c>
      <c r="H447" t="n">
        <v>10</v>
      </c>
      <c r="I447" t="n">
        <v>15</v>
      </c>
      <c r="J447" t="n">
        <v>20</v>
      </c>
      <c r="K447" t="b">
        <v>0</v>
      </c>
      <c r="L447" t="b">
        <v>0</v>
      </c>
      <c r="M447" t="inlineStr">
        <is>
          <t>AVOID</t>
        </is>
      </c>
    </row>
    <row r="448">
      <c r="A448" t="inlineStr">
        <is>
          <t>MNST</t>
        </is>
      </c>
      <c r="B448" t="inlineStr">
        <is>
          <t>2026-07-30</t>
        </is>
      </c>
      <c r="C448" t="n">
        <v>97.05</v>
      </c>
      <c r="D448" t="n">
        <v>49.05</v>
      </c>
      <c r="E448" t="n">
        <v>0.63</v>
      </c>
      <c r="F448" t="n">
        <v>25.92</v>
      </c>
      <c r="G448" t="n">
        <v>-2.89</v>
      </c>
      <c r="H448" t="n">
        <v>55</v>
      </c>
      <c r="I448" t="n">
        <v>85</v>
      </c>
      <c r="J448" t="n">
        <v>95</v>
      </c>
      <c r="K448" t="b">
        <v>0</v>
      </c>
      <c r="L448" t="b">
        <v>0</v>
      </c>
      <c r="M448" t="inlineStr">
        <is>
          <t>HIGH CONVICTION</t>
        </is>
      </c>
    </row>
    <row r="449">
      <c r="A449" t="inlineStr">
        <is>
          <t>MOMO</t>
        </is>
      </c>
      <c r="B449" t="inlineStr">
        <is>
          <t>2026-07-30</t>
        </is>
      </c>
      <c r="C449" t="n">
        <v>5.99</v>
      </c>
      <c r="D449" t="n">
        <v>46.45</v>
      </c>
      <c r="E449" t="n">
        <v>0.62</v>
      </c>
      <c r="F449" t="n">
        <v>-3.93</v>
      </c>
      <c r="G449" t="n">
        <v>-26.29</v>
      </c>
      <c r="H449" t="n">
        <v>30</v>
      </c>
      <c r="I449" t="n">
        <v>60</v>
      </c>
      <c r="J449" t="n">
        <v>30</v>
      </c>
      <c r="K449" t="b">
        <v>0</v>
      </c>
      <c r="L449" t="b">
        <v>0</v>
      </c>
      <c r="M449" t="inlineStr">
        <is>
          <t>AVOID</t>
        </is>
      </c>
    </row>
    <row r="450">
      <c r="A450" t="inlineStr">
        <is>
          <t>MORN</t>
        </is>
      </c>
      <c r="B450" t="inlineStr">
        <is>
          <t>2026-07-30</t>
        </is>
      </c>
      <c r="C450" t="n">
        <v>194.13</v>
      </c>
      <c r="D450" t="n">
        <v>72.98</v>
      </c>
      <c r="E450" t="n">
        <v>1.32</v>
      </c>
      <c r="F450" t="n">
        <v>15.42</v>
      </c>
      <c r="G450" t="n">
        <v>-30.99</v>
      </c>
      <c r="H450" t="n">
        <v>50</v>
      </c>
      <c r="I450" t="n">
        <v>60</v>
      </c>
      <c r="J450" t="n">
        <v>70</v>
      </c>
      <c r="K450" t="b">
        <v>0</v>
      </c>
      <c r="L450" t="b">
        <v>0</v>
      </c>
      <c r="M450" t="inlineStr">
        <is>
          <t>AVOID</t>
        </is>
      </c>
    </row>
    <row r="451">
      <c r="A451" t="inlineStr">
        <is>
          <t>MPWR</t>
        </is>
      </c>
      <c r="B451" t="inlineStr">
        <is>
          <t>2026-07-30</t>
        </is>
      </c>
      <c r="C451" t="n">
        <v>1323.36</v>
      </c>
      <c r="D451" t="n">
        <v>47.3</v>
      </c>
      <c r="E451" t="n">
        <v>1</v>
      </c>
      <c r="F451" t="n">
        <v>-17.9</v>
      </c>
      <c r="G451" t="n">
        <v>-21.57</v>
      </c>
      <c r="H451" t="n">
        <v>25</v>
      </c>
      <c r="I451" t="n">
        <v>65</v>
      </c>
      <c r="J451" t="n">
        <v>25</v>
      </c>
      <c r="K451" t="b">
        <v>0</v>
      </c>
      <c r="L451" t="b">
        <v>0</v>
      </c>
      <c r="M451" t="inlineStr">
        <is>
          <t>AVOID</t>
        </is>
      </c>
    </row>
    <row r="452">
      <c r="A452" t="inlineStr">
        <is>
          <t>MRCY</t>
        </is>
      </c>
      <c r="B452" t="inlineStr">
        <is>
          <t>2026-07-30</t>
        </is>
      </c>
      <c r="C452" t="n">
        <v>95.48999999999999</v>
      </c>
      <c r="D452" t="n">
        <v>39.04</v>
      </c>
      <c r="E452" t="n">
        <v>0.38</v>
      </c>
      <c r="F452" t="n">
        <v>21.01</v>
      </c>
      <c r="G452" t="n">
        <v>-24.34</v>
      </c>
      <c r="H452" t="n">
        <v>25</v>
      </c>
      <c r="I452" t="n">
        <v>25</v>
      </c>
      <c r="J452" t="n">
        <v>45</v>
      </c>
      <c r="K452" t="b">
        <v>0</v>
      </c>
      <c r="L452" t="b">
        <v>0</v>
      </c>
      <c r="M452" t="inlineStr">
        <is>
          <t>AVOID</t>
        </is>
      </c>
    </row>
    <row r="453">
      <c r="A453" t="inlineStr">
        <is>
          <t>MRNA</t>
        </is>
      </c>
      <c r="B453" t="inlineStr">
        <is>
          <t>2026-07-30</t>
        </is>
      </c>
      <c r="C453" t="n">
        <v>57.33</v>
      </c>
      <c r="D453" t="n">
        <v>26.2</v>
      </c>
      <c r="E453" t="n">
        <v>0.42</v>
      </c>
      <c r="F453" t="n">
        <v>24.8</v>
      </c>
      <c r="G453" t="n">
        <v>-29.91</v>
      </c>
      <c r="H453" t="n">
        <v>35</v>
      </c>
      <c r="I453" t="n">
        <v>25</v>
      </c>
      <c r="J453" t="n">
        <v>55</v>
      </c>
      <c r="K453" t="b">
        <v>0</v>
      </c>
      <c r="L453" t="b">
        <v>0</v>
      </c>
      <c r="M453" t="inlineStr">
        <is>
          <t>AVOID</t>
        </is>
      </c>
    </row>
    <row r="454">
      <c r="A454" t="inlineStr">
        <is>
          <t>MRTN</t>
        </is>
      </c>
      <c r="B454" t="inlineStr">
        <is>
          <t>2026-07-30</t>
        </is>
      </c>
      <c r="C454" t="n">
        <v>14.78</v>
      </c>
      <c r="D454" t="n">
        <v>24.18</v>
      </c>
      <c r="E454" t="n">
        <v>0.76</v>
      </c>
      <c r="F454" t="n">
        <v>-1.66</v>
      </c>
      <c r="G454" t="n">
        <v>-18.87</v>
      </c>
      <c r="H454" t="n">
        <v>25</v>
      </c>
      <c r="I454" t="n">
        <v>25</v>
      </c>
      <c r="J454" t="n">
        <v>25</v>
      </c>
      <c r="K454" t="b">
        <v>0</v>
      </c>
      <c r="L454" t="b">
        <v>0</v>
      </c>
      <c r="M454" t="inlineStr">
        <is>
          <t>AVOID</t>
        </is>
      </c>
    </row>
    <row r="455">
      <c r="A455" t="inlineStr">
        <is>
          <t>MRVI</t>
        </is>
      </c>
      <c r="B455" t="inlineStr">
        <is>
          <t>2026-07-30</t>
        </is>
      </c>
      <c r="C455" t="n">
        <v>6.7</v>
      </c>
      <c r="D455" t="n">
        <v>62.35</v>
      </c>
      <c r="E455" t="n">
        <v>0.23</v>
      </c>
      <c r="F455" t="n">
        <v>82.06999999999999</v>
      </c>
      <c r="G455" t="n">
        <v>-7.46</v>
      </c>
      <c r="H455" t="n">
        <v>60</v>
      </c>
      <c r="I455" t="n">
        <v>85</v>
      </c>
      <c r="J455" t="n">
        <v>100</v>
      </c>
      <c r="K455" t="b">
        <v>0</v>
      </c>
      <c r="L455" t="b">
        <v>0</v>
      </c>
      <c r="M455" t="inlineStr">
        <is>
          <t>HIGH CONVICTION</t>
        </is>
      </c>
    </row>
    <row r="456">
      <c r="A456" t="inlineStr">
        <is>
          <t>MRVL</t>
        </is>
      </c>
      <c r="B456" t="inlineStr">
        <is>
          <t>2026-07-30</t>
        </is>
      </c>
      <c r="C456" t="n">
        <v>182.8</v>
      </c>
      <c r="D456" t="n">
        <v>31.97</v>
      </c>
      <c r="E456" t="n">
        <v>0.76</v>
      </c>
      <c r="F456" t="n">
        <v>10.71</v>
      </c>
      <c r="G456" t="n">
        <v>-42.22</v>
      </c>
      <c r="H456" t="n">
        <v>25</v>
      </c>
      <c r="I456" t="n">
        <v>25</v>
      </c>
      <c r="J456" t="n">
        <v>35</v>
      </c>
      <c r="K456" t="b">
        <v>0</v>
      </c>
      <c r="L456" t="b">
        <v>0</v>
      </c>
      <c r="M456" t="inlineStr">
        <is>
          <t>AVOID</t>
        </is>
      </c>
    </row>
    <row r="457">
      <c r="A457" t="inlineStr">
        <is>
          <t>MSFT</t>
        </is>
      </c>
      <c r="B457" t="inlineStr">
        <is>
          <t>2026-07-30</t>
        </is>
      </c>
      <c r="C457" t="n">
        <v>455.6</v>
      </c>
      <c r="D457" t="n">
        <v>74.44</v>
      </c>
      <c r="E457" t="n">
        <v>2.61</v>
      </c>
      <c r="F457" t="n">
        <v>11.97</v>
      </c>
      <c r="G457" t="n">
        <v>-15.42</v>
      </c>
      <c r="H457" t="n">
        <v>40</v>
      </c>
      <c r="I457" t="n">
        <v>60</v>
      </c>
      <c r="J457" t="n">
        <v>80</v>
      </c>
      <c r="K457" t="b">
        <v>0</v>
      </c>
      <c r="L457" t="b">
        <v>0</v>
      </c>
      <c r="M457" t="inlineStr">
        <is>
          <t>AVOID</t>
        </is>
      </c>
    </row>
    <row r="458">
      <c r="A458" t="inlineStr">
        <is>
          <t>MSTR</t>
        </is>
      </c>
      <c r="B458" t="inlineStr">
        <is>
          <t>2026-07-30</t>
        </is>
      </c>
      <c r="C458" t="n">
        <v>97.06</v>
      </c>
      <c r="D458" t="n">
        <v>52.64</v>
      </c>
      <c r="E458" t="n">
        <v>0.51</v>
      </c>
      <c r="F458" t="n">
        <v>-41.34</v>
      </c>
      <c r="G458" t="n">
        <v>-75.86</v>
      </c>
      <c r="H458" t="n">
        <v>15</v>
      </c>
      <c r="I458" t="n">
        <v>40</v>
      </c>
      <c r="J458" t="n">
        <v>15</v>
      </c>
      <c r="K458" t="b">
        <v>0</v>
      </c>
      <c r="L458" t="b">
        <v>0</v>
      </c>
      <c r="M458" t="inlineStr">
        <is>
          <t>AVOID</t>
        </is>
      </c>
    </row>
    <row r="459">
      <c r="A459" t="inlineStr">
        <is>
          <t>MTCH</t>
        </is>
      </c>
      <c r="B459" t="inlineStr">
        <is>
          <t>2026-07-30</t>
        </is>
      </c>
      <c r="C459" t="n">
        <v>39.28</v>
      </c>
      <c r="D459" t="n">
        <v>52.88</v>
      </c>
      <c r="E459" t="n">
        <v>0.3</v>
      </c>
      <c r="F459" t="n">
        <v>5.53</v>
      </c>
      <c r="G459" t="n">
        <v>-2.51</v>
      </c>
      <c r="H459" t="n">
        <v>60</v>
      </c>
      <c r="I459" t="n">
        <v>85</v>
      </c>
      <c r="J459" t="n">
        <v>80</v>
      </c>
      <c r="K459" t="b">
        <v>0</v>
      </c>
      <c r="L459" t="b">
        <v>0</v>
      </c>
      <c r="M459" t="inlineStr">
        <is>
          <t>AVOID</t>
        </is>
      </c>
    </row>
    <row r="460">
      <c r="A460" t="inlineStr">
        <is>
          <t>MTSI</t>
        </is>
      </c>
      <c r="B460" t="inlineStr">
        <is>
          <t>2026-07-30</t>
        </is>
      </c>
      <c r="C460" t="n">
        <v>248.33</v>
      </c>
      <c r="D460" t="n">
        <v>29.42</v>
      </c>
      <c r="E460" t="n">
        <v>0.63</v>
      </c>
      <c r="F460" t="n">
        <v>-11.82</v>
      </c>
      <c r="G460" t="n">
        <v>-39.38</v>
      </c>
      <c r="H460" t="n">
        <v>25</v>
      </c>
      <c r="I460" t="n">
        <v>25</v>
      </c>
      <c r="J460" t="n">
        <v>25</v>
      </c>
      <c r="K460" t="b">
        <v>0</v>
      </c>
      <c r="L460" t="b">
        <v>0</v>
      </c>
      <c r="M460" t="inlineStr">
        <is>
          <t>AVOID</t>
        </is>
      </c>
    </row>
    <row r="461">
      <c r="A461" t="inlineStr">
        <is>
          <t>MU</t>
        </is>
      </c>
      <c r="B461" t="inlineStr">
        <is>
          <t>2026-07-30</t>
        </is>
      </c>
      <c r="C461" t="n">
        <v>878.16</v>
      </c>
      <c r="D461" t="n">
        <v>43.49</v>
      </c>
      <c r="E461" t="n">
        <v>1.08</v>
      </c>
      <c r="F461" t="n">
        <v>69.83</v>
      </c>
      <c r="G461" t="n">
        <v>-27.63</v>
      </c>
      <c r="H461" t="n">
        <v>25</v>
      </c>
      <c r="I461" t="n">
        <v>40</v>
      </c>
      <c r="J461" t="n">
        <v>65</v>
      </c>
      <c r="K461" t="b">
        <v>0</v>
      </c>
      <c r="L461" t="b">
        <v>0</v>
      </c>
      <c r="M461" t="inlineStr">
        <is>
          <t>AVOID</t>
        </is>
      </c>
    </row>
    <row r="462">
      <c r="A462" t="inlineStr">
        <is>
          <t>MYGN</t>
        </is>
      </c>
      <c r="B462" t="inlineStr">
        <is>
          <t>2026-07-30</t>
        </is>
      </c>
      <c r="C462" t="n">
        <v>5.18</v>
      </c>
      <c r="D462" t="n">
        <v>33.67</v>
      </c>
      <c r="E462" t="n">
        <v>1.17</v>
      </c>
      <c r="F462" t="n">
        <v>9.16</v>
      </c>
      <c r="G462" t="n">
        <v>-36.61</v>
      </c>
      <c r="H462" t="n">
        <v>20</v>
      </c>
      <c r="I462" t="n">
        <v>35</v>
      </c>
      <c r="J462" t="n">
        <v>20</v>
      </c>
      <c r="K462" t="b">
        <v>0</v>
      </c>
      <c r="L462" t="b">
        <v>0</v>
      </c>
      <c r="M462" t="inlineStr">
        <is>
          <t>AVOID</t>
        </is>
      </c>
    </row>
    <row r="463">
      <c r="A463" t="inlineStr">
        <is>
          <t>NAVI</t>
        </is>
      </c>
      <c r="B463" t="inlineStr">
        <is>
          <t>2026-07-30</t>
        </is>
      </c>
      <c r="C463" t="n">
        <v>8.49</v>
      </c>
      <c r="D463" t="n">
        <v>57.23</v>
      </c>
      <c r="E463" t="n">
        <v>0.5600000000000001</v>
      </c>
      <c r="F463" t="n">
        <v>-6.19</v>
      </c>
      <c r="G463" t="n">
        <v>-34.82</v>
      </c>
      <c r="H463" t="n">
        <v>35</v>
      </c>
      <c r="I463" t="n">
        <v>60</v>
      </c>
      <c r="J463" t="n">
        <v>35</v>
      </c>
      <c r="K463" t="b">
        <v>0</v>
      </c>
      <c r="L463" t="b">
        <v>0</v>
      </c>
      <c r="M463" t="inlineStr">
        <is>
          <t>AVOID</t>
        </is>
      </c>
    </row>
    <row r="464">
      <c r="A464" t="inlineStr">
        <is>
          <t>NBIX</t>
        </is>
      </c>
      <c r="B464" t="inlineStr">
        <is>
          <t>2026-07-30</t>
        </is>
      </c>
      <c r="C464" t="n">
        <v>182.52</v>
      </c>
      <c r="D464" t="n">
        <v>57.8</v>
      </c>
      <c r="E464" t="n">
        <v>0.85</v>
      </c>
      <c r="F464" t="n">
        <v>38.62</v>
      </c>
      <c r="G464" t="n">
        <v>-0.17</v>
      </c>
      <c r="H464" t="n">
        <v>60</v>
      </c>
      <c r="I464" t="n">
        <v>70</v>
      </c>
      <c r="J464" t="n">
        <v>100</v>
      </c>
      <c r="K464" t="b">
        <v>0</v>
      </c>
      <c r="L464" t="b">
        <v>0</v>
      </c>
      <c r="M464" t="inlineStr">
        <is>
          <t>HIGH CONVICTION</t>
        </is>
      </c>
    </row>
    <row r="465">
      <c r="A465" t="inlineStr">
        <is>
          <t>NBTB</t>
        </is>
      </c>
      <c r="B465" t="inlineStr">
        <is>
          <t>2026-07-30</t>
        </is>
      </c>
      <c r="C465" t="n">
        <v>53.44</v>
      </c>
      <c r="D465" t="n">
        <v>68.58</v>
      </c>
      <c r="E465" t="n">
        <v>0.54</v>
      </c>
      <c r="F465" t="n">
        <v>23.31</v>
      </c>
      <c r="G465" t="n">
        <v>-1.5</v>
      </c>
      <c r="H465" t="n">
        <v>60</v>
      </c>
      <c r="I465" t="n">
        <v>45</v>
      </c>
      <c r="J465" t="n">
        <v>100</v>
      </c>
      <c r="K465" t="b">
        <v>0</v>
      </c>
      <c r="L465" t="b">
        <v>0</v>
      </c>
      <c r="M465" t="inlineStr">
        <is>
          <t>HIGH CONVICTION</t>
        </is>
      </c>
    </row>
    <row r="466">
      <c r="A466" t="inlineStr">
        <is>
          <t>NCLH</t>
        </is>
      </c>
      <c r="B466" t="inlineStr">
        <is>
          <t>2026-07-30</t>
        </is>
      </c>
      <c r="C466" t="n">
        <v>18.98</v>
      </c>
      <c r="D466" t="n">
        <v>44.96</v>
      </c>
      <c r="E466" t="n">
        <v>1.91</v>
      </c>
      <c r="F466" t="n">
        <v>4.37</v>
      </c>
      <c r="G466" t="n">
        <v>-29.57</v>
      </c>
      <c r="H466" t="n">
        <v>10</v>
      </c>
      <c r="I466" t="n">
        <v>30</v>
      </c>
      <c r="J466" t="n">
        <v>30</v>
      </c>
      <c r="K466" t="b">
        <v>0</v>
      </c>
      <c r="L466" t="b">
        <v>0</v>
      </c>
      <c r="M466" t="inlineStr">
        <is>
          <t>AVOID</t>
        </is>
      </c>
    </row>
    <row r="467">
      <c r="A467" t="inlineStr">
        <is>
          <t>NCNO</t>
        </is>
      </c>
      <c r="B467" t="inlineStr">
        <is>
          <t>2026-07-30</t>
        </is>
      </c>
      <c r="C467" t="n">
        <v>18.18</v>
      </c>
      <c r="D467" t="n">
        <v>59.16</v>
      </c>
      <c r="E467" t="n">
        <v>0.61</v>
      </c>
      <c r="F467" t="n">
        <v>4.03</v>
      </c>
      <c r="G467" t="n">
        <v>-44.37</v>
      </c>
      <c r="H467" t="n">
        <v>35</v>
      </c>
      <c r="I467" t="n">
        <v>45</v>
      </c>
      <c r="J467" t="n">
        <v>35</v>
      </c>
      <c r="K467" t="b">
        <v>0</v>
      </c>
      <c r="L467" t="b">
        <v>0</v>
      </c>
      <c r="M467" t="inlineStr">
        <is>
          <t>AVOID</t>
        </is>
      </c>
    </row>
    <row r="468">
      <c r="A468" t="inlineStr">
        <is>
          <t>NDAQ</t>
        </is>
      </c>
      <c r="B468" t="inlineStr">
        <is>
          <t>2026-07-30</t>
        </is>
      </c>
      <c r="C468" t="n">
        <v>94.69</v>
      </c>
      <c r="D468" t="n">
        <v>65.75</v>
      </c>
      <c r="E468" t="n">
        <v>0.5600000000000001</v>
      </c>
      <c r="F468" t="n">
        <v>3.39</v>
      </c>
      <c r="G468" t="n">
        <v>-5.59</v>
      </c>
      <c r="H468" t="n">
        <v>50</v>
      </c>
      <c r="I468" t="n">
        <v>45</v>
      </c>
      <c r="J468" t="n">
        <v>60</v>
      </c>
      <c r="K468" t="b">
        <v>0</v>
      </c>
      <c r="L468" t="b">
        <v>0</v>
      </c>
      <c r="M468" t="inlineStr">
        <is>
          <t>AVOID</t>
        </is>
      </c>
    </row>
    <row r="469">
      <c r="A469" t="inlineStr">
        <is>
          <t>NDSN</t>
        </is>
      </c>
      <c r="B469" t="inlineStr">
        <is>
          <t>2026-07-30</t>
        </is>
      </c>
      <c r="C469" t="n">
        <v>295.97</v>
      </c>
      <c r="D469" t="n">
        <v>61.44</v>
      </c>
      <c r="E469" t="n">
        <v>0.33</v>
      </c>
      <c r="F469" t="n">
        <v>2.9</v>
      </c>
      <c r="G469" t="n">
        <v>-2.85</v>
      </c>
      <c r="H469" t="n">
        <v>60</v>
      </c>
      <c r="I469" t="n">
        <v>85</v>
      </c>
      <c r="J469" t="n">
        <v>80</v>
      </c>
      <c r="K469" t="b">
        <v>0</v>
      </c>
      <c r="L469" t="b">
        <v>0</v>
      </c>
      <c r="M469" t="inlineStr">
        <is>
          <t>AVOID</t>
        </is>
      </c>
    </row>
    <row r="470">
      <c r="A470" t="inlineStr">
        <is>
          <t>NEO</t>
        </is>
      </c>
      <c r="B470" t="inlineStr">
        <is>
          <t>2026-07-30</t>
        </is>
      </c>
      <c r="C470" t="n">
        <v>15.76</v>
      </c>
      <c r="D470" t="n">
        <v>63.91</v>
      </c>
      <c r="E470" t="n">
        <v>1.14</v>
      </c>
      <c r="F470" t="n">
        <v>70.19</v>
      </c>
      <c r="G470" t="n">
        <v>0</v>
      </c>
      <c r="H470" t="n">
        <v>60</v>
      </c>
      <c r="I470" t="n">
        <v>85</v>
      </c>
      <c r="J470" t="n">
        <v>100</v>
      </c>
      <c r="K470" t="b">
        <v>1</v>
      </c>
      <c r="L470" t="b">
        <v>0</v>
      </c>
      <c r="M470" t="inlineStr">
        <is>
          <t>ELITE LEADER</t>
        </is>
      </c>
    </row>
    <row r="471">
      <c r="A471" t="inlineStr">
        <is>
          <t>NEOG</t>
        </is>
      </c>
      <c r="B471" t="inlineStr">
        <is>
          <t>2026-07-30</t>
        </is>
      </c>
      <c r="C471" t="n">
        <v>11.4</v>
      </c>
      <c r="D471" t="n">
        <v>71.89</v>
      </c>
      <c r="E471" t="n">
        <v>1.83</v>
      </c>
      <c r="F471" t="n">
        <v>21.22</v>
      </c>
      <c r="G471" t="n">
        <v>0</v>
      </c>
      <c r="H471" t="n">
        <v>60</v>
      </c>
      <c r="I471" t="n">
        <v>60</v>
      </c>
      <c r="J471" t="n">
        <v>100</v>
      </c>
      <c r="K471" t="b">
        <v>0</v>
      </c>
      <c r="L471" t="b">
        <v>0</v>
      </c>
      <c r="M471" t="inlineStr">
        <is>
          <t>HIGH CONVICTION</t>
        </is>
      </c>
    </row>
    <row r="472">
      <c r="A472" t="inlineStr">
        <is>
          <t>NESR</t>
        </is>
      </c>
      <c r="B472" t="inlineStr">
        <is>
          <t>2026-07-30</t>
        </is>
      </c>
      <c r="C472" t="n">
        <v>26.28</v>
      </c>
      <c r="D472" t="n">
        <v>40.15</v>
      </c>
      <c r="E472" t="n">
        <v>0.62</v>
      </c>
      <c r="F472" t="n">
        <v>5.37</v>
      </c>
      <c r="G472" t="n">
        <v>-12.2</v>
      </c>
      <c r="H472" t="n">
        <v>35</v>
      </c>
      <c r="I472" t="n">
        <v>25</v>
      </c>
      <c r="J472" t="n">
        <v>35</v>
      </c>
      <c r="K472" t="b">
        <v>0</v>
      </c>
      <c r="L472" t="b">
        <v>0</v>
      </c>
      <c r="M472" t="inlineStr">
        <is>
          <t>AVOID</t>
        </is>
      </c>
    </row>
    <row r="473">
      <c r="A473" t="inlineStr">
        <is>
          <t>NFE</t>
        </is>
      </c>
      <c r="B473" t="inlineStr">
        <is>
          <t>2026-07-30</t>
        </is>
      </c>
      <c r="C473" t="n">
        <v>0.33</v>
      </c>
      <c r="D473" t="n">
        <v>44.58</v>
      </c>
      <c r="E473" t="n">
        <v>0.59</v>
      </c>
      <c r="F473" t="n">
        <v>-51.86</v>
      </c>
      <c r="G473" t="n">
        <v>-89.81</v>
      </c>
      <c r="H473" t="n">
        <v>0</v>
      </c>
      <c r="I473" t="n">
        <v>0</v>
      </c>
      <c r="J473" t="n">
        <v>0</v>
      </c>
      <c r="K473" t="b">
        <v>0</v>
      </c>
      <c r="L473" t="b">
        <v>0</v>
      </c>
      <c r="M473" t="inlineStr">
        <is>
          <t>AVOID</t>
        </is>
      </c>
    </row>
    <row r="474">
      <c r="A474" t="inlineStr">
        <is>
          <t>NFLX</t>
        </is>
      </c>
      <c r="B474" t="inlineStr">
        <is>
          <t>2026-07-30</t>
        </is>
      </c>
      <c r="C474" t="n">
        <v>72.89</v>
      </c>
      <c r="D474" t="n">
        <v>48.46</v>
      </c>
      <c r="E474" t="n">
        <v>0.73</v>
      </c>
      <c r="F474" t="n">
        <v>-22.13</v>
      </c>
      <c r="G474" t="n">
        <v>-42.3</v>
      </c>
      <c r="H474" t="n">
        <v>10</v>
      </c>
      <c r="I474" t="n">
        <v>40</v>
      </c>
      <c r="J474" t="n">
        <v>10</v>
      </c>
      <c r="K474" t="b">
        <v>0</v>
      </c>
      <c r="L474" t="b">
        <v>0</v>
      </c>
      <c r="M474" t="inlineStr">
        <is>
          <t>AVOID</t>
        </is>
      </c>
    </row>
    <row r="475">
      <c r="A475" t="inlineStr">
        <is>
          <t>NICE</t>
        </is>
      </c>
      <c r="B475" t="inlineStr">
        <is>
          <t>2026-07-30</t>
        </is>
      </c>
      <c r="C475" t="n">
        <v>98.20999999999999</v>
      </c>
      <c r="D475" t="n">
        <v>48.4</v>
      </c>
      <c r="E475" t="n">
        <v>0.58</v>
      </c>
      <c r="F475" t="n">
        <v>-3.73</v>
      </c>
      <c r="G475" t="n">
        <v>-39.04</v>
      </c>
      <c r="H475" t="n">
        <v>30</v>
      </c>
      <c r="I475" t="n">
        <v>60</v>
      </c>
      <c r="J475" t="n">
        <v>30</v>
      </c>
      <c r="K475" t="b">
        <v>0</v>
      </c>
      <c r="L475" t="b">
        <v>0</v>
      </c>
      <c r="M475" t="inlineStr">
        <is>
          <t>AVOID</t>
        </is>
      </c>
    </row>
    <row r="476">
      <c r="A476" t="inlineStr">
        <is>
          <t>NKTR</t>
        </is>
      </c>
      <c r="B476" t="inlineStr">
        <is>
          <t>2026-07-30</t>
        </is>
      </c>
      <c r="C476" t="n">
        <v>70.37</v>
      </c>
      <c r="D476" t="n">
        <v>50.04</v>
      </c>
      <c r="E476" t="n">
        <v>0.59</v>
      </c>
      <c r="F476" t="n">
        <v>-17.25</v>
      </c>
      <c r="G476" t="n">
        <v>-29.87</v>
      </c>
      <c r="H476" t="n">
        <v>60</v>
      </c>
      <c r="I476" t="n">
        <v>85</v>
      </c>
      <c r="J476" t="n">
        <v>60</v>
      </c>
      <c r="K476" t="b">
        <v>0</v>
      </c>
      <c r="L476" t="b">
        <v>0</v>
      </c>
      <c r="M476" t="inlineStr">
        <is>
          <t>AVOID</t>
        </is>
      </c>
    </row>
    <row r="477">
      <c r="A477" t="inlineStr">
        <is>
          <t>NKTX</t>
        </is>
      </c>
      <c r="B477" t="inlineStr">
        <is>
          <t>2026-07-30</t>
        </is>
      </c>
      <c r="C477" t="n">
        <v>2.15</v>
      </c>
      <c r="D477" t="n">
        <v>4.97</v>
      </c>
      <c r="E477" t="n">
        <v>0.57</v>
      </c>
      <c r="F477" t="n">
        <v>-22.2</v>
      </c>
      <c r="G477" t="n">
        <v>-41.28</v>
      </c>
      <c r="H477" t="n">
        <v>10</v>
      </c>
      <c r="I477" t="n">
        <v>0</v>
      </c>
      <c r="J477" t="n">
        <v>10</v>
      </c>
      <c r="K477" t="b">
        <v>0</v>
      </c>
      <c r="L477" t="b">
        <v>0</v>
      </c>
      <c r="M477" t="inlineStr">
        <is>
          <t>AVOID</t>
        </is>
      </c>
    </row>
    <row r="478">
      <c r="A478" t="inlineStr">
        <is>
          <t>NMFC</t>
        </is>
      </c>
      <c r="B478" t="inlineStr">
        <is>
          <t>2026-07-30</t>
        </is>
      </c>
      <c r="C478" t="n">
        <v>6.95</v>
      </c>
      <c r="D478" t="n">
        <v>44.77</v>
      </c>
      <c r="E478" t="n">
        <v>1.3</v>
      </c>
      <c r="F478" t="n">
        <v>-15.98</v>
      </c>
      <c r="G478" t="n">
        <v>-24.95</v>
      </c>
      <c r="H478" t="n">
        <v>0</v>
      </c>
      <c r="I478" t="n">
        <v>30</v>
      </c>
      <c r="J478" t="n">
        <v>10</v>
      </c>
      <c r="K478" t="b">
        <v>0</v>
      </c>
      <c r="L478" t="b">
        <v>0</v>
      </c>
      <c r="M478" t="inlineStr">
        <is>
          <t>AVOID</t>
        </is>
      </c>
    </row>
    <row r="479">
      <c r="A479" t="inlineStr">
        <is>
          <t>NMIH</t>
        </is>
      </c>
      <c r="B479" t="inlineStr">
        <is>
          <t>2026-07-30</t>
        </is>
      </c>
      <c r="C479" t="n">
        <v>43.3</v>
      </c>
      <c r="D479" t="n">
        <v>62.27</v>
      </c>
      <c r="E479" t="n">
        <v>0.43</v>
      </c>
      <c r="F479" t="n">
        <v>11.86</v>
      </c>
      <c r="G479" t="n">
        <v>-2.35</v>
      </c>
      <c r="H479" t="n">
        <v>60</v>
      </c>
      <c r="I479" t="n">
        <v>85</v>
      </c>
      <c r="J479" t="n">
        <v>90</v>
      </c>
      <c r="K479" t="b">
        <v>0</v>
      </c>
      <c r="L479" t="b">
        <v>0</v>
      </c>
      <c r="M479" t="inlineStr">
        <is>
          <t>WATCH</t>
        </is>
      </c>
    </row>
    <row r="480">
      <c r="A480" t="inlineStr">
        <is>
          <t>NNDM</t>
        </is>
      </c>
      <c r="B480" t="inlineStr">
        <is>
          <t>2026-07-30</t>
        </is>
      </c>
      <c r="C480" t="n">
        <v>1.53</v>
      </c>
      <c r="D480" t="n">
        <v>56.36</v>
      </c>
      <c r="E480" t="n">
        <v>0.72</v>
      </c>
      <c r="F480" t="n">
        <v>-11.27</v>
      </c>
      <c r="G480" t="n">
        <v>-28.27</v>
      </c>
      <c r="H480" t="n">
        <v>25</v>
      </c>
      <c r="I480" t="n">
        <v>45</v>
      </c>
      <c r="J480" t="n">
        <v>25</v>
      </c>
      <c r="K480" t="b">
        <v>0</v>
      </c>
      <c r="L480" t="b">
        <v>0</v>
      </c>
      <c r="M480" t="inlineStr">
        <is>
          <t>AVOID</t>
        </is>
      </c>
    </row>
    <row r="481">
      <c r="A481" t="inlineStr">
        <is>
          <t>NNOX</t>
        </is>
      </c>
      <c r="B481" t="inlineStr">
        <is>
          <t>2026-07-30</t>
        </is>
      </c>
      <c r="C481" t="n">
        <v>0.97</v>
      </c>
      <c r="D481" t="n">
        <v>41.88</v>
      </c>
      <c r="E481" t="n">
        <v>0.53</v>
      </c>
      <c r="F481" t="n">
        <v>-43.22</v>
      </c>
      <c r="G481" t="n">
        <v>-80.15000000000001</v>
      </c>
      <c r="H481" t="n">
        <v>0</v>
      </c>
      <c r="I481" t="n">
        <v>0</v>
      </c>
      <c r="J481" t="n">
        <v>0</v>
      </c>
      <c r="K481" t="b">
        <v>0</v>
      </c>
      <c r="L481" t="b">
        <v>0</v>
      </c>
      <c r="M481" t="inlineStr">
        <is>
          <t>AVOID</t>
        </is>
      </c>
    </row>
    <row r="482">
      <c r="A482" t="inlineStr">
        <is>
          <t>NOVT</t>
        </is>
      </c>
      <c r="B482" t="inlineStr">
        <is>
          <t>2026-07-30</t>
        </is>
      </c>
      <c r="C482" t="n">
        <v>138.82</v>
      </c>
      <c r="D482" t="n">
        <v>22.37</v>
      </c>
      <c r="E482" t="n">
        <v>0.61</v>
      </c>
      <c r="F482" t="n">
        <v>7.17</v>
      </c>
      <c r="G482" t="n">
        <v>-17.66</v>
      </c>
      <c r="H482" t="n">
        <v>25</v>
      </c>
      <c r="I482" t="n">
        <v>25</v>
      </c>
      <c r="J482" t="n">
        <v>25</v>
      </c>
      <c r="K482" t="b">
        <v>0</v>
      </c>
      <c r="L482" t="b">
        <v>0</v>
      </c>
      <c r="M482" t="inlineStr">
        <is>
          <t>AVOID</t>
        </is>
      </c>
    </row>
    <row r="483">
      <c r="A483" t="inlineStr">
        <is>
          <t>NRIX</t>
        </is>
      </c>
      <c r="B483" t="inlineStr">
        <is>
          <t>2026-07-30</t>
        </is>
      </c>
      <c r="C483" t="n">
        <v>23.54</v>
      </c>
      <c r="D483" t="n">
        <v>54.36</v>
      </c>
      <c r="E483" t="n">
        <v>0.64</v>
      </c>
      <c r="F483" t="n">
        <v>40.96</v>
      </c>
      <c r="G483" t="n">
        <v>-4.66</v>
      </c>
      <c r="H483" t="n">
        <v>50</v>
      </c>
      <c r="I483" t="n">
        <v>85</v>
      </c>
      <c r="J483" t="n">
        <v>100</v>
      </c>
      <c r="K483" t="b">
        <v>0</v>
      </c>
      <c r="L483" t="b">
        <v>0</v>
      </c>
      <c r="M483" t="inlineStr">
        <is>
          <t>HIGH CONVICTION</t>
        </is>
      </c>
    </row>
    <row r="484">
      <c r="A484" t="inlineStr">
        <is>
          <t>NSIT</t>
        </is>
      </c>
      <c r="B484" t="inlineStr">
        <is>
          <t>2026-07-30</t>
        </is>
      </c>
      <c r="C484" t="n">
        <v>129.66</v>
      </c>
      <c r="D484" t="n">
        <v>66.08</v>
      </c>
      <c r="E484" t="n">
        <v>0.78</v>
      </c>
      <c r="F484" t="n">
        <v>77.86</v>
      </c>
      <c r="G484" t="n">
        <v>-10.33</v>
      </c>
      <c r="H484" t="n">
        <v>60</v>
      </c>
      <c r="I484" t="n">
        <v>45</v>
      </c>
      <c r="J484" t="n">
        <v>100</v>
      </c>
      <c r="K484" t="b">
        <v>0</v>
      </c>
      <c r="L484" t="b">
        <v>0</v>
      </c>
      <c r="M484" t="inlineStr">
        <is>
          <t>HIGH CONVICTION</t>
        </is>
      </c>
    </row>
    <row r="485">
      <c r="A485" t="inlineStr">
        <is>
          <t>NTAP</t>
        </is>
      </c>
      <c r="B485" t="inlineStr">
        <is>
          <t>2026-07-30</t>
        </is>
      </c>
      <c r="C485" t="n">
        <v>174</v>
      </c>
      <c r="D485" t="n">
        <v>54.53</v>
      </c>
      <c r="E485" t="n">
        <v>0.34</v>
      </c>
      <c r="F485" t="n">
        <v>57.56</v>
      </c>
      <c r="G485" t="n">
        <v>-3.62</v>
      </c>
      <c r="H485" t="n">
        <v>60</v>
      </c>
      <c r="I485" t="n">
        <v>70</v>
      </c>
      <c r="J485" t="n">
        <v>100</v>
      </c>
      <c r="K485" t="b">
        <v>0</v>
      </c>
      <c r="L485" t="b">
        <v>0</v>
      </c>
      <c r="M485" t="inlineStr">
        <is>
          <t>HIGH CONVICTION</t>
        </is>
      </c>
    </row>
    <row r="486">
      <c r="A486" t="inlineStr">
        <is>
          <t>NTCT</t>
        </is>
      </c>
      <c r="B486" t="inlineStr">
        <is>
          <t>2026-07-30</t>
        </is>
      </c>
      <c r="C486" t="n">
        <v>39.81</v>
      </c>
      <c r="D486" t="n">
        <v>27.73</v>
      </c>
      <c r="E486" t="n">
        <v>0.23</v>
      </c>
      <c r="F486" t="n">
        <v>18.13</v>
      </c>
      <c r="G486" t="n">
        <v>-11.22</v>
      </c>
      <c r="H486" t="n">
        <v>35</v>
      </c>
      <c r="I486" t="n">
        <v>25</v>
      </c>
      <c r="J486" t="n">
        <v>45</v>
      </c>
      <c r="K486" t="b">
        <v>0</v>
      </c>
      <c r="L486" t="b">
        <v>0</v>
      </c>
      <c r="M486" t="inlineStr">
        <is>
          <t>AVOID</t>
        </is>
      </c>
    </row>
    <row r="487">
      <c r="A487" t="inlineStr">
        <is>
          <t>NTES</t>
        </is>
      </c>
      <c r="B487" t="inlineStr">
        <is>
          <t>2026-07-30</t>
        </is>
      </c>
      <c r="C487" t="n">
        <v>131.79</v>
      </c>
      <c r="D487" t="n">
        <v>54.8</v>
      </c>
      <c r="E487" t="n">
        <v>0.61</v>
      </c>
      <c r="F487" t="n">
        <v>12.81</v>
      </c>
      <c r="G487" t="n">
        <v>-15.63</v>
      </c>
      <c r="H487" t="n">
        <v>50</v>
      </c>
      <c r="I487" t="n">
        <v>85</v>
      </c>
      <c r="J487" t="n">
        <v>60</v>
      </c>
      <c r="K487" t="b">
        <v>0</v>
      </c>
      <c r="L487" t="b">
        <v>0</v>
      </c>
      <c r="M487" t="inlineStr">
        <is>
          <t>AVOID</t>
        </is>
      </c>
    </row>
    <row r="488">
      <c r="A488" t="inlineStr">
        <is>
          <t>NTGR</t>
        </is>
      </c>
      <c r="B488" t="inlineStr">
        <is>
          <t>2026-07-30</t>
        </is>
      </c>
      <c r="C488" t="n">
        <v>22.95</v>
      </c>
      <c r="D488" t="n">
        <v>49.78</v>
      </c>
      <c r="E488" t="n">
        <v>0.35</v>
      </c>
      <c r="F488" t="n">
        <v>-9.18</v>
      </c>
      <c r="G488" t="n">
        <v>-36.27</v>
      </c>
      <c r="H488" t="n">
        <v>0</v>
      </c>
      <c r="I488" t="n">
        <v>40</v>
      </c>
      <c r="J488" t="n">
        <v>0</v>
      </c>
      <c r="K488" t="b">
        <v>0</v>
      </c>
      <c r="L488" t="b">
        <v>0</v>
      </c>
      <c r="M488" t="inlineStr">
        <is>
          <t>AVOID</t>
        </is>
      </c>
    </row>
    <row r="489">
      <c r="A489" t="inlineStr">
        <is>
          <t>NTLA</t>
        </is>
      </c>
      <c r="B489" t="inlineStr">
        <is>
          <t>2026-07-30</t>
        </is>
      </c>
      <c r="C489" t="n">
        <v>10.94</v>
      </c>
      <c r="D489" t="n">
        <v>21.11</v>
      </c>
      <c r="E489" t="n">
        <v>0.41</v>
      </c>
      <c r="F489" t="n">
        <v>-18.81</v>
      </c>
      <c r="G489" t="n">
        <v>-60.88</v>
      </c>
      <c r="H489" t="n">
        <v>10</v>
      </c>
      <c r="I489" t="n">
        <v>0</v>
      </c>
      <c r="J489" t="n">
        <v>10</v>
      </c>
      <c r="K489" t="b">
        <v>0</v>
      </c>
      <c r="L489" t="b">
        <v>0</v>
      </c>
      <c r="M489" t="inlineStr">
        <is>
          <t>AVOID</t>
        </is>
      </c>
    </row>
    <row r="490">
      <c r="A490" t="inlineStr">
        <is>
          <t>NTNX</t>
        </is>
      </c>
      <c r="B490" t="inlineStr">
        <is>
          <t>2026-07-30</t>
        </is>
      </c>
      <c r="C490" t="n">
        <v>59.1</v>
      </c>
      <c r="D490" t="n">
        <v>65.95</v>
      </c>
      <c r="E490" t="n">
        <v>0.44</v>
      </c>
      <c r="F490" t="n">
        <v>44.53</v>
      </c>
      <c r="G490" t="n">
        <v>-27.15</v>
      </c>
      <c r="H490" t="n">
        <v>60</v>
      </c>
      <c r="I490" t="n">
        <v>45</v>
      </c>
      <c r="J490" t="n">
        <v>90</v>
      </c>
      <c r="K490" t="b">
        <v>0</v>
      </c>
      <c r="L490" t="b">
        <v>0</v>
      </c>
      <c r="M490" t="inlineStr">
        <is>
          <t>WATCH</t>
        </is>
      </c>
    </row>
    <row r="491">
      <c r="A491" t="inlineStr">
        <is>
          <t>NTRA</t>
        </is>
      </c>
      <c r="B491" t="inlineStr">
        <is>
          <t>2026-07-30</t>
        </is>
      </c>
      <c r="C491" t="n">
        <v>268.16</v>
      </c>
      <c r="D491" t="n">
        <v>48.56</v>
      </c>
      <c r="E491" t="n">
        <v>0.6899999999999999</v>
      </c>
      <c r="F491" t="n">
        <v>30.07</v>
      </c>
      <c r="G491" t="n">
        <v>-5.51</v>
      </c>
      <c r="H491" t="n">
        <v>45</v>
      </c>
      <c r="I491" t="n">
        <v>85</v>
      </c>
      <c r="J491" t="n">
        <v>85</v>
      </c>
      <c r="K491" t="b">
        <v>0</v>
      </c>
      <c r="L491" t="b">
        <v>0</v>
      </c>
      <c r="M491" t="inlineStr">
        <is>
          <t>WATCH</t>
        </is>
      </c>
    </row>
    <row r="492">
      <c r="A492" t="inlineStr">
        <is>
          <t>NTRS</t>
        </is>
      </c>
      <c r="B492" t="inlineStr">
        <is>
          <t>2026-07-30</t>
        </is>
      </c>
      <c r="C492" t="n">
        <v>182.63</v>
      </c>
      <c r="D492" t="n">
        <v>48.84</v>
      </c>
      <c r="E492" t="n">
        <v>0.32</v>
      </c>
      <c r="F492" t="n">
        <v>10.3</v>
      </c>
      <c r="G492" t="n">
        <v>-4.45</v>
      </c>
      <c r="H492" t="n">
        <v>55</v>
      </c>
      <c r="I492" t="n">
        <v>85</v>
      </c>
      <c r="J492" t="n">
        <v>85</v>
      </c>
      <c r="K492" t="b">
        <v>0</v>
      </c>
      <c r="L492" t="b">
        <v>0</v>
      </c>
      <c r="M492" t="inlineStr">
        <is>
          <t>WATCH</t>
        </is>
      </c>
    </row>
    <row r="493">
      <c r="A493" t="inlineStr">
        <is>
          <t>NVAX</t>
        </is>
      </c>
      <c r="B493" t="inlineStr">
        <is>
          <t>2026-07-30</t>
        </is>
      </c>
      <c r="C493" t="n">
        <v>7.49</v>
      </c>
      <c r="D493" t="n">
        <v>14.72</v>
      </c>
      <c r="E493" t="n">
        <v>0.42</v>
      </c>
      <c r="F493" t="n">
        <v>-5.61</v>
      </c>
      <c r="G493" t="n">
        <v>-33.11</v>
      </c>
      <c r="H493" t="n">
        <v>10</v>
      </c>
      <c r="I493" t="n">
        <v>0</v>
      </c>
      <c r="J493" t="n">
        <v>10</v>
      </c>
      <c r="K493" t="b">
        <v>0</v>
      </c>
      <c r="L493" t="b">
        <v>0</v>
      </c>
      <c r="M493" t="inlineStr">
        <is>
          <t>AVOID</t>
        </is>
      </c>
    </row>
    <row r="494">
      <c r="A494" t="inlineStr">
        <is>
          <t>NVCR</t>
        </is>
      </c>
      <c r="B494" t="inlineStr">
        <is>
          <t>2026-07-30</t>
        </is>
      </c>
      <c r="C494" t="n">
        <v>15.19</v>
      </c>
      <c r="D494" t="n">
        <v>45.34</v>
      </c>
      <c r="E494" t="n">
        <v>0.31</v>
      </c>
      <c r="F494" t="n">
        <v>-0.1</v>
      </c>
      <c r="G494" t="n">
        <v>-23.99</v>
      </c>
      <c r="H494" t="n">
        <v>35</v>
      </c>
      <c r="I494" t="n">
        <v>50</v>
      </c>
      <c r="J494" t="n">
        <v>35</v>
      </c>
      <c r="K494" t="b">
        <v>0</v>
      </c>
      <c r="L494" t="b">
        <v>0</v>
      </c>
      <c r="M494" t="inlineStr">
        <is>
          <t>AVOID</t>
        </is>
      </c>
    </row>
    <row r="495">
      <c r="A495" t="inlineStr">
        <is>
          <t>NVDA</t>
        </is>
      </c>
      <c r="B495" t="inlineStr">
        <is>
          <t>2026-07-30</t>
        </is>
      </c>
      <c r="C495" t="n">
        <v>194.71</v>
      </c>
      <c r="D495" t="n">
        <v>37.12</v>
      </c>
      <c r="E495" t="n">
        <v>0.7</v>
      </c>
      <c r="F495" t="n">
        <v>-2.32</v>
      </c>
      <c r="G495" t="n">
        <v>-17.31</v>
      </c>
      <c r="H495" t="n">
        <v>25</v>
      </c>
      <c r="I495" t="n">
        <v>25</v>
      </c>
      <c r="J495" t="n">
        <v>25</v>
      </c>
      <c r="K495" t="b">
        <v>0</v>
      </c>
      <c r="L495" t="b">
        <v>0</v>
      </c>
      <c r="M495" t="inlineStr">
        <is>
          <t>AVOID</t>
        </is>
      </c>
    </row>
    <row r="496">
      <c r="A496" t="inlineStr">
        <is>
          <t>NVMI</t>
        </is>
      </c>
      <c r="B496" t="inlineStr">
        <is>
          <t>2026-07-30</t>
        </is>
      </c>
      <c r="C496" t="n">
        <v>394.9</v>
      </c>
      <c r="D496" t="n">
        <v>31.84</v>
      </c>
      <c r="E496" t="n">
        <v>0.8100000000000001</v>
      </c>
      <c r="F496" t="n">
        <v>-21.09</v>
      </c>
      <c r="G496" t="n">
        <v>-34.8</v>
      </c>
      <c r="H496" t="n">
        <v>10</v>
      </c>
      <c r="I496" t="n">
        <v>0</v>
      </c>
      <c r="J496" t="n">
        <v>10</v>
      </c>
      <c r="K496" t="b">
        <v>0</v>
      </c>
      <c r="L496" t="b">
        <v>0</v>
      </c>
      <c r="M496" t="inlineStr">
        <is>
          <t>AVOID</t>
        </is>
      </c>
    </row>
    <row r="497">
      <c r="A497" t="inlineStr">
        <is>
          <t>NWBI</t>
        </is>
      </c>
      <c r="B497" t="inlineStr">
        <is>
          <t>2026-07-30</t>
        </is>
      </c>
      <c r="C497" t="n">
        <v>15.75</v>
      </c>
      <c r="D497" t="n">
        <v>69.40000000000001</v>
      </c>
      <c r="E497" t="n">
        <v>0.43</v>
      </c>
      <c r="F497" t="n">
        <v>15.52</v>
      </c>
      <c r="G497" t="n">
        <v>-0.9399999999999999</v>
      </c>
      <c r="H497" t="n">
        <v>60</v>
      </c>
      <c r="I497" t="n">
        <v>60</v>
      </c>
      <c r="J497" t="n">
        <v>100</v>
      </c>
      <c r="K497" t="b">
        <v>0</v>
      </c>
      <c r="L497" t="b">
        <v>0</v>
      </c>
      <c r="M497" t="inlineStr">
        <is>
          <t>HIGH CONVICTION</t>
        </is>
      </c>
    </row>
    <row r="498">
      <c r="A498" t="inlineStr">
        <is>
          <t>NWE</t>
        </is>
      </c>
      <c r="B498" t="inlineStr">
        <is>
          <t>2026-07-30</t>
        </is>
      </c>
      <c r="C498" t="n">
        <v>70.06999999999999</v>
      </c>
      <c r="D498" t="n">
        <v>35.37</v>
      </c>
      <c r="E498" t="n">
        <v>0.45</v>
      </c>
      <c r="F498" t="n">
        <v>-2.22</v>
      </c>
      <c r="G498" t="n">
        <v>-4.56</v>
      </c>
      <c r="H498" t="n">
        <v>35</v>
      </c>
      <c r="I498" t="n">
        <v>40</v>
      </c>
      <c r="J498" t="n">
        <v>55</v>
      </c>
      <c r="K498" t="b">
        <v>0</v>
      </c>
      <c r="L498" t="b">
        <v>0</v>
      </c>
      <c r="M498" t="inlineStr">
        <is>
          <t>AVOID</t>
        </is>
      </c>
    </row>
    <row r="499">
      <c r="A499" t="inlineStr">
        <is>
          <t>NWL</t>
        </is>
      </c>
      <c r="B499" t="inlineStr">
        <is>
          <t>2026-07-30</t>
        </is>
      </c>
      <c r="C499" t="n">
        <v>5.14</v>
      </c>
      <c r="D499" t="n">
        <v>49.32</v>
      </c>
      <c r="E499" t="n">
        <v>0.5</v>
      </c>
      <c r="F499" t="n">
        <v>28.62</v>
      </c>
      <c r="G499" t="n">
        <v>-16.21</v>
      </c>
      <c r="H499" t="n">
        <v>45</v>
      </c>
      <c r="I499" t="n">
        <v>85</v>
      </c>
      <c r="J499" t="n">
        <v>65</v>
      </c>
      <c r="K499" t="b">
        <v>0</v>
      </c>
      <c r="L499" t="b">
        <v>0</v>
      </c>
      <c r="M499" t="inlineStr">
        <is>
          <t>AVOID</t>
        </is>
      </c>
    </row>
    <row r="500">
      <c r="A500" t="inlineStr">
        <is>
          <t>NWS</t>
        </is>
      </c>
      <c r="B500" t="inlineStr">
        <is>
          <t>2026-07-30</t>
        </is>
      </c>
      <c r="C500" t="n">
        <v>31.68</v>
      </c>
      <c r="D500" t="n">
        <v>54.28</v>
      </c>
      <c r="E500" t="n">
        <v>0.49</v>
      </c>
      <c r="F500" t="n">
        <v>3.94</v>
      </c>
      <c r="G500" t="n">
        <v>-9.31</v>
      </c>
      <c r="H500" t="n">
        <v>60</v>
      </c>
      <c r="I500" t="n">
        <v>85</v>
      </c>
      <c r="J500" t="n">
        <v>70</v>
      </c>
      <c r="K500" t="b">
        <v>0</v>
      </c>
      <c r="L500" t="b">
        <v>0</v>
      </c>
      <c r="M500" t="inlineStr">
        <is>
          <t>AVOID</t>
        </is>
      </c>
    </row>
    <row r="501">
      <c r="A501" t="inlineStr">
        <is>
          <t>NWSA</t>
        </is>
      </c>
      <c r="B501" t="inlineStr">
        <is>
          <t>2026-07-30</t>
        </is>
      </c>
      <c r="C501" t="n">
        <v>28.1</v>
      </c>
      <c r="D501" t="n">
        <v>55.14</v>
      </c>
      <c r="E501" t="n">
        <v>0.43</v>
      </c>
      <c r="F501" t="n">
        <v>6.78</v>
      </c>
      <c r="G501" t="n">
        <v>-9.050000000000001</v>
      </c>
      <c r="H501" t="n">
        <v>60</v>
      </c>
      <c r="I501" t="n">
        <v>85</v>
      </c>
      <c r="J501" t="n">
        <v>70</v>
      </c>
      <c r="K501" t="b">
        <v>0</v>
      </c>
      <c r="L501" t="b">
        <v>0</v>
      </c>
      <c r="M501" t="inlineStr">
        <is>
          <t>AVOID</t>
        </is>
      </c>
    </row>
    <row r="502">
      <c r="A502" t="inlineStr">
        <is>
          <t>NXPI</t>
        </is>
      </c>
      <c r="B502" t="inlineStr">
        <is>
          <t>2026-07-30</t>
        </is>
      </c>
      <c r="C502" t="n">
        <v>247.72</v>
      </c>
      <c r="D502" t="n">
        <v>26.19</v>
      </c>
      <c r="E502" t="n">
        <v>0.99</v>
      </c>
      <c r="F502" t="n">
        <v>-15.34</v>
      </c>
      <c r="G502" t="n">
        <v>-25.28</v>
      </c>
      <c r="H502" t="n">
        <v>25</v>
      </c>
      <c r="I502" t="n">
        <v>25</v>
      </c>
      <c r="J502" t="n">
        <v>25</v>
      </c>
      <c r="K502" t="b">
        <v>0</v>
      </c>
      <c r="L502" t="b">
        <v>0</v>
      </c>
      <c r="M502" t="inlineStr">
        <is>
          <t>AVOID</t>
        </is>
      </c>
    </row>
    <row r="503">
      <c r="A503" t="inlineStr">
        <is>
          <t>NXST</t>
        </is>
      </c>
      <c r="B503" t="inlineStr">
        <is>
          <t>2026-07-30</t>
        </is>
      </c>
      <c r="C503" t="n">
        <v>192.84</v>
      </c>
      <c r="D503" t="n">
        <v>75.61</v>
      </c>
      <c r="E503" t="n">
        <v>0.47</v>
      </c>
      <c r="F503" t="n">
        <v>-6.47</v>
      </c>
      <c r="G503" t="n">
        <v>-23.25</v>
      </c>
      <c r="H503" t="n">
        <v>35</v>
      </c>
      <c r="I503" t="n">
        <v>20</v>
      </c>
      <c r="J503" t="n">
        <v>35</v>
      </c>
      <c r="K503" t="b">
        <v>0</v>
      </c>
      <c r="L503" t="b">
        <v>0</v>
      </c>
      <c r="M503" t="inlineStr">
        <is>
          <t>AVOID</t>
        </is>
      </c>
    </row>
    <row r="504">
      <c r="A504" t="inlineStr">
        <is>
          <t>NXTC</t>
        </is>
      </c>
      <c r="B504" t="inlineStr">
        <is>
          <t>2026-07-30</t>
        </is>
      </c>
      <c r="C504" t="n">
        <v>4.43</v>
      </c>
      <c r="D504" t="n">
        <v>63.17</v>
      </c>
      <c r="E504" t="n">
        <v>0.11</v>
      </c>
      <c r="F504" t="n">
        <v>-51.9</v>
      </c>
      <c r="G504" t="n">
        <v>-68.95999999999999</v>
      </c>
      <c r="H504" t="n">
        <v>35</v>
      </c>
      <c r="I504" t="n">
        <v>45</v>
      </c>
      <c r="J504" t="n">
        <v>35</v>
      </c>
      <c r="K504" t="b">
        <v>0</v>
      </c>
      <c r="L504" t="b">
        <v>0</v>
      </c>
      <c r="M504" t="inlineStr">
        <is>
          <t>AVOID</t>
        </is>
      </c>
    </row>
    <row r="505">
      <c r="A505" t="inlineStr">
        <is>
          <t>OCFC</t>
        </is>
      </c>
      <c r="B505" t="inlineStr">
        <is>
          <t>2026-07-30</t>
        </is>
      </c>
      <c r="C505" t="n">
        <v>19.74</v>
      </c>
      <c r="D505" t="n">
        <v>61.29</v>
      </c>
      <c r="E505" t="n">
        <v>0.53</v>
      </c>
      <c r="F505" t="n">
        <v>3.51</v>
      </c>
      <c r="G505" t="n">
        <v>-2.52</v>
      </c>
      <c r="H505" t="n">
        <v>60</v>
      </c>
      <c r="I505" t="n">
        <v>85</v>
      </c>
      <c r="J505" t="n">
        <v>80</v>
      </c>
      <c r="K505" t="b">
        <v>0</v>
      </c>
      <c r="L505" t="b">
        <v>0</v>
      </c>
      <c r="M505" t="inlineStr">
        <is>
          <t>AVOID</t>
        </is>
      </c>
    </row>
    <row r="506">
      <c r="A506" t="inlineStr">
        <is>
          <t>OCUL</t>
        </is>
      </c>
      <c r="B506" t="inlineStr">
        <is>
          <t>2026-07-30</t>
        </is>
      </c>
      <c r="C506" t="n">
        <v>8.460000000000001</v>
      </c>
      <c r="D506" t="n">
        <v>23.15</v>
      </c>
      <c r="E506" t="n">
        <v>0.92</v>
      </c>
      <c r="F506" t="n">
        <v>-9.710000000000001</v>
      </c>
      <c r="G506" t="n">
        <v>-47.49</v>
      </c>
      <c r="H506" t="n">
        <v>10</v>
      </c>
      <c r="I506" t="n">
        <v>0</v>
      </c>
      <c r="J506" t="n">
        <v>10</v>
      </c>
      <c r="K506" t="b">
        <v>0</v>
      </c>
      <c r="L506" t="b">
        <v>0</v>
      </c>
      <c r="M506" t="inlineStr">
        <is>
          <t>AVOID</t>
        </is>
      </c>
    </row>
    <row r="507">
      <c r="A507" t="inlineStr">
        <is>
          <t>ODFL</t>
        </is>
      </c>
      <c r="B507" t="inlineStr">
        <is>
          <t>2026-07-30</t>
        </is>
      </c>
      <c r="C507" t="n">
        <v>210.85</v>
      </c>
      <c r="D507" t="n">
        <v>36.42</v>
      </c>
      <c r="E507" t="n">
        <v>1.67</v>
      </c>
      <c r="F507" t="n">
        <v>-0.62</v>
      </c>
      <c r="G507" t="n">
        <v>-15.23</v>
      </c>
      <c r="H507" t="n">
        <v>35</v>
      </c>
      <c r="I507" t="n">
        <v>40</v>
      </c>
      <c r="J507" t="n">
        <v>55</v>
      </c>
      <c r="K507" t="b">
        <v>0</v>
      </c>
      <c r="L507" t="b">
        <v>0</v>
      </c>
      <c r="M507" t="inlineStr">
        <is>
          <t>AVOID</t>
        </is>
      </c>
    </row>
    <row r="508">
      <c r="A508" t="inlineStr">
        <is>
          <t>OFIX</t>
        </is>
      </c>
      <c r="B508" t="inlineStr">
        <is>
          <t>2026-07-30</t>
        </is>
      </c>
      <c r="C508" t="n">
        <v>11.75</v>
      </c>
      <c r="D508" t="n">
        <v>51.24</v>
      </c>
      <c r="E508" t="n">
        <v>0.32</v>
      </c>
      <c r="F508" t="n">
        <v>-0.09</v>
      </c>
      <c r="G508" t="n">
        <v>-27.6</v>
      </c>
      <c r="H508" t="n">
        <v>35</v>
      </c>
      <c r="I508" t="n">
        <v>60</v>
      </c>
      <c r="J508" t="n">
        <v>35</v>
      </c>
      <c r="K508" t="b">
        <v>0</v>
      </c>
      <c r="L508" t="b">
        <v>0</v>
      </c>
      <c r="M508" t="inlineStr">
        <is>
          <t>AVOID</t>
        </is>
      </c>
    </row>
    <row r="509">
      <c r="A509" t="inlineStr">
        <is>
          <t>OKTA</t>
        </is>
      </c>
      <c r="B509" t="inlineStr">
        <is>
          <t>2026-07-30</t>
        </is>
      </c>
      <c r="C509" t="n">
        <v>137.99</v>
      </c>
      <c r="D509" t="n">
        <v>49.28</v>
      </c>
      <c r="E509" t="n">
        <v>0.52</v>
      </c>
      <c r="F509" t="n">
        <v>87.37</v>
      </c>
      <c r="G509" t="n">
        <v>-10.75</v>
      </c>
      <c r="H509" t="n">
        <v>45</v>
      </c>
      <c r="I509" t="n">
        <v>70</v>
      </c>
      <c r="J509" t="n">
        <v>85</v>
      </c>
      <c r="K509" t="b">
        <v>0</v>
      </c>
      <c r="L509" t="b">
        <v>0</v>
      </c>
      <c r="M509" t="inlineStr">
        <is>
          <t>WATCH</t>
        </is>
      </c>
    </row>
    <row r="510">
      <c r="A510" t="inlineStr">
        <is>
          <t>OLED</t>
        </is>
      </c>
      <c r="B510" t="inlineStr">
        <is>
          <t>2026-07-30</t>
        </is>
      </c>
      <c r="C510" t="n">
        <v>80.44</v>
      </c>
      <c r="D510" t="n">
        <v>48.09</v>
      </c>
      <c r="E510" t="n">
        <v>0.92</v>
      </c>
      <c r="F510" t="n">
        <v>-7.14</v>
      </c>
      <c r="G510" t="n">
        <v>-46.09</v>
      </c>
      <c r="H510" t="n">
        <v>10</v>
      </c>
      <c r="I510" t="n">
        <v>40</v>
      </c>
      <c r="J510" t="n">
        <v>10</v>
      </c>
      <c r="K510" t="b">
        <v>0</v>
      </c>
      <c r="L510" t="b">
        <v>0</v>
      </c>
      <c r="M510" t="inlineStr">
        <is>
          <t>AVOID</t>
        </is>
      </c>
    </row>
    <row r="511">
      <c r="A511" t="inlineStr">
        <is>
          <t>OLLI</t>
        </is>
      </c>
      <c r="B511" t="inlineStr">
        <is>
          <t>2026-07-30</t>
        </is>
      </c>
      <c r="C511" t="n">
        <v>72.20999999999999</v>
      </c>
      <c r="D511" t="n">
        <v>75.29000000000001</v>
      </c>
      <c r="E511" t="n">
        <v>0.36</v>
      </c>
      <c r="F511" t="n">
        <v>-16.53</v>
      </c>
      <c r="G511" t="n">
        <v>-48.71</v>
      </c>
      <c r="H511" t="n">
        <v>15</v>
      </c>
      <c r="I511" t="n">
        <v>0</v>
      </c>
      <c r="J511" t="n">
        <v>15</v>
      </c>
      <c r="K511" t="b">
        <v>0</v>
      </c>
      <c r="L511" t="b">
        <v>0</v>
      </c>
      <c r="M511" t="inlineStr">
        <is>
          <t>AVOID</t>
        </is>
      </c>
    </row>
    <row r="512">
      <c r="A512" t="inlineStr">
        <is>
          <t>OLMA</t>
        </is>
      </c>
      <c r="B512" t="inlineStr">
        <is>
          <t>2026-07-30</t>
        </is>
      </c>
      <c r="C512" t="n">
        <v>11.52</v>
      </c>
      <c r="D512" t="n">
        <v>44.27</v>
      </c>
      <c r="E512" t="n">
        <v>0.31</v>
      </c>
      <c r="F512" t="n">
        <v>-20.09</v>
      </c>
      <c r="G512" t="n">
        <v>-67.86</v>
      </c>
      <c r="H512" t="n">
        <v>10</v>
      </c>
      <c r="I512" t="n">
        <v>15</v>
      </c>
      <c r="J512" t="n">
        <v>10</v>
      </c>
      <c r="K512" t="b">
        <v>0</v>
      </c>
      <c r="L512" t="b">
        <v>0</v>
      </c>
      <c r="M512" t="inlineStr">
        <is>
          <t>AVOID</t>
        </is>
      </c>
    </row>
    <row r="513">
      <c r="A513" t="inlineStr">
        <is>
          <t>OMCL</t>
        </is>
      </c>
      <c r="B513" t="inlineStr">
        <is>
          <t>2026-07-30</t>
        </is>
      </c>
      <c r="C513" t="n">
        <v>36.58</v>
      </c>
      <c r="D513" t="n">
        <v>29.53</v>
      </c>
      <c r="E513" t="n">
        <v>1.97</v>
      </c>
      <c r="F513" t="n">
        <v>-11.67</v>
      </c>
      <c r="G513" t="n">
        <v>-28.81</v>
      </c>
      <c r="H513" t="n">
        <v>20</v>
      </c>
      <c r="I513" t="n">
        <v>15</v>
      </c>
      <c r="J513" t="n">
        <v>40</v>
      </c>
      <c r="K513" t="b">
        <v>0</v>
      </c>
      <c r="L513" t="b">
        <v>0</v>
      </c>
      <c r="M513" t="inlineStr">
        <is>
          <t>AVOID</t>
        </is>
      </c>
    </row>
    <row r="514">
      <c r="A514" t="inlineStr">
        <is>
          <t>OMER</t>
        </is>
      </c>
      <c r="B514" t="inlineStr">
        <is>
          <t>2026-07-30</t>
        </is>
      </c>
      <c r="C514" t="n">
        <v>12.05</v>
      </c>
      <c r="D514" t="n">
        <v>64.06999999999999</v>
      </c>
      <c r="E514" t="n">
        <v>0.61</v>
      </c>
      <c r="F514" t="n">
        <v>-17.47</v>
      </c>
      <c r="G514" t="n">
        <v>-29.86</v>
      </c>
      <c r="H514" t="n">
        <v>40</v>
      </c>
      <c r="I514" t="n">
        <v>70</v>
      </c>
      <c r="J514" t="n">
        <v>40</v>
      </c>
      <c r="K514" t="b">
        <v>0</v>
      </c>
      <c r="L514" t="b">
        <v>0</v>
      </c>
      <c r="M514" t="inlineStr">
        <is>
          <t>AVOID</t>
        </is>
      </c>
    </row>
    <row r="515">
      <c r="A515" t="inlineStr">
        <is>
          <t>ON</t>
        </is>
      </c>
      <c r="B515" t="inlineStr">
        <is>
          <t>2026-07-30</t>
        </is>
      </c>
      <c r="C515" t="n">
        <v>84.16</v>
      </c>
      <c r="D515" t="n">
        <v>36.84</v>
      </c>
      <c r="E515" t="n">
        <v>0.51</v>
      </c>
      <c r="F515" t="n">
        <v>-16.52</v>
      </c>
      <c r="G515" t="n">
        <v>-37.16</v>
      </c>
      <c r="H515" t="n">
        <v>25</v>
      </c>
      <c r="I515" t="n">
        <v>25</v>
      </c>
      <c r="J515" t="n">
        <v>25</v>
      </c>
      <c r="K515" t="b">
        <v>0</v>
      </c>
      <c r="L515" t="b">
        <v>0</v>
      </c>
      <c r="M515" t="inlineStr">
        <is>
          <t>AVOID</t>
        </is>
      </c>
    </row>
    <row r="516">
      <c r="A516" t="inlineStr">
        <is>
          <t>ONB</t>
        </is>
      </c>
      <c r="B516" t="inlineStr">
        <is>
          <t>2026-07-30</t>
        </is>
      </c>
      <c r="C516" t="n">
        <v>26.48</v>
      </c>
      <c r="D516" t="n">
        <v>53.3</v>
      </c>
      <c r="E516" t="n">
        <v>0.48</v>
      </c>
      <c r="F516" t="n">
        <v>11.14</v>
      </c>
      <c r="G516" t="n">
        <v>-2.97</v>
      </c>
      <c r="H516" t="n">
        <v>60</v>
      </c>
      <c r="I516" t="n">
        <v>85</v>
      </c>
      <c r="J516" t="n">
        <v>90</v>
      </c>
      <c r="K516" t="b">
        <v>0</v>
      </c>
      <c r="L516" t="b">
        <v>0</v>
      </c>
      <c r="M516" t="inlineStr">
        <is>
          <t>WATCH</t>
        </is>
      </c>
    </row>
    <row r="517">
      <c r="A517" t="inlineStr">
        <is>
          <t>ONDS</t>
        </is>
      </c>
      <c r="B517" t="inlineStr">
        <is>
          <t>2026-07-30</t>
        </is>
      </c>
      <c r="C517" t="n">
        <v>7.52</v>
      </c>
      <c r="D517" t="n">
        <v>52.42</v>
      </c>
      <c r="E517" t="n">
        <v>0.39</v>
      </c>
      <c r="F517" t="n">
        <v>-25.1</v>
      </c>
      <c r="G517" t="n">
        <v>-46.32</v>
      </c>
      <c r="H517" t="n">
        <v>15</v>
      </c>
      <c r="I517" t="n">
        <v>40</v>
      </c>
      <c r="J517" t="n">
        <v>15</v>
      </c>
      <c r="K517" t="b">
        <v>0</v>
      </c>
      <c r="L517" t="b">
        <v>0</v>
      </c>
      <c r="M517" t="inlineStr">
        <is>
          <t>AVOID</t>
        </is>
      </c>
    </row>
    <row r="518">
      <c r="A518" t="inlineStr">
        <is>
          <t>OPCH</t>
        </is>
      </c>
      <c r="B518" t="inlineStr">
        <is>
          <t>2026-07-30</t>
        </is>
      </c>
      <c r="C518" t="n">
        <v>22.59</v>
      </c>
      <c r="D518" t="n">
        <v>57.89</v>
      </c>
      <c r="E518" t="n">
        <v>1.38</v>
      </c>
      <c r="F518" t="n">
        <v>11.12</v>
      </c>
      <c r="G518" t="n">
        <v>-38.26</v>
      </c>
      <c r="H518" t="n">
        <v>35</v>
      </c>
      <c r="I518" t="n">
        <v>60</v>
      </c>
      <c r="J518" t="n">
        <v>55</v>
      </c>
      <c r="K518" t="b">
        <v>0</v>
      </c>
      <c r="L518" t="b">
        <v>0</v>
      </c>
      <c r="M518" t="inlineStr">
        <is>
          <t>AVOID</t>
        </is>
      </c>
    </row>
    <row r="519">
      <c r="A519" t="inlineStr">
        <is>
          <t>OPEN</t>
        </is>
      </c>
      <c r="B519" t="inlineStr">
        <is>
          <t>2026-07-30</t>
        </is>
      </c>
      <c r="C519" t="n">
        <v>3.83</v>
      </c>
      <c r="D519" t="n">
        <v>27.36</v>
      </c>
      <c r="E519" t="n">
        <v>0.4</v>
      </c>
      <c r="F519" t="n">
        <v>-28.81</v>
      </c>
      <c r="G519" t="n">
        <v>-63.59</v>
      </c>
      <c r="H519" t="n">
        <v>0</v>
      </c>
      <c r="I519" t="n">
        <v>0</v>
      </c>
      <c r="J519" t="n">
        <v>0</v>
      </c>
      <c r="K519" t="b">
        <v>0</v>
      </c>
      <c r="L519" t="b">
        <v>0</v>
      </c>
      <c r="M519" t="inlineStr">
        <is>
          <t>AVOID</t>
        </is>
      </c>
    </row>
    <row r="520">
      <c r="A520" t="inlineStr">
        <is>
          <t>OPRT</t>
        </is>
      </c>
      <c r="B520" t="inlineStr">
        <is>
          <t>2026-07-30</t>
        </is>
      </c>
      <c r="C520" t="n">
        <v>5.58</v>
      </c>
      <c r="D520" t="n">
        <v>42.86</v>
      </c>
      <c r="E520" t="n">
        <v>0.55</v>
      </c>
      <c r="F520" t="n">
        <v>-8.369999999999999</v>
      </c>
      <c r="G520" t="n">
        <v>-21.41</v>
      </c>
      <c r="H520" t="n">
        <v>45</v>
      </c>
      <c r="I520" t="n">
        <v>45</v>
      </c>
      <c r="J520" t="n">
        <v>45</v>
      </c>
      <c r="K520" t="b">
        <v>0</v>
      </c>
      <c r="L520" t="b">
        <v>0</v>
      </c>
      <c r="M520" t="inlineStr">
        <is>
          <t>AVOID</t>
        </is>
      </c>
    </row>
    <row r="521">
      <c r="A521" t="inlineStr">
        <is>
          <t>ORGO</t>
        </is>
      </c>
      <c r="B521" t="inlineStr">
        <is>
          <t>2026-07-30</t>
        </is>
      </c>
      <c r="C521" t="n">
        <v>2.43</v>
      </c>
      <c r="D521" t="n">
        <v>51.2</v>
      </c>
      <c r="E521" t="n">
        <v>0.52</v>
      </c>
      <c r="F521" t="n">
        <v>3.36</v>
      </c>
      <c r="G521" t="n">
        <v>-62.86</v>
      </c>
      <c r="H521" t="n">
        <v>15</v>
      </c>
      <c r="I521" t="n">
        <v>40</v>
      </c>
      <c r="J521" t="n">
        <v>15</v>
      </c>
      <c r="K521" t="b">
        <v>0</v>
      </c>
      <c r="L521" t="b">
        <v>0</v>
      </c>
      <c r="M521" t="inlineStr">
        <is>
          <t>AVOID</t>
        </is>
      </c>
    </row>
    <row r="522">
      <c r="A522" t="inlineStr">
        <is>
          <t>ORIC</t>
        </is>
      </c>
      <c r="B522" t="inlineStr">
        <is>
          <t>2026-07-30</t>
        </is>
      </c>
      <c r="C522" t="n">
        <v>11.49</v>
      </c>
      <c r="D522" t="n">
        <v>56.87</v>
      </c>
      <c r="E522" t="n">
        <v>0.35</v>
      </c>
      <c r="F522" t="n">
        <v>16.3</v>
      </c>
      <c r="G522" t="n">
        <v>-20.26</v>
      </c>
      <c r="H522" t="n">
        <v>50</v>
      </c>
      <c r="I522" t="n">
        <v>70</v>
      </c>
      <c r="J522" t="n">
        <v>60</v>
      </c>
      <c r="K522" t="b">
        <v>0</v>
      </c>
      <c r="L522" t="b">
        <v>0</v>
      </c>
      <c r="M522" t="inlineStr">
        <is>
          <t>AVOID</t>
        </is>
      </c>
    </row>
    <row r="523">
      <c r="A523" t="inlineStr">
        <is>
          <t>ORLY</t>
        </is>
      </c>
      <c r="B523" t="inlineStr">
        <is>
          <t>2026-07-30</t>
        </is>
      </c>
      <c r="C523" t="n">
        <v>88.26000000000001</v>
      </c>
      <c r="D523" t="n">
        <v>54.13</v>
      </c>
      <c r="E523" t="n">
        <v>0.86</v>
      </c>
      <c r="F523" t="n">
        <v>-11.2</v>
      </c>
      <c r="G523" t="n">
        <v>-18.14</v>
      </c>
      <c r="H523" t="n">
        <v>15</v>
      </c>
      <c r="I523" t="n">
        <v>40</v>
      </c>
      <c r="J523" t="n">
        <v>15</v>
      </c>
      <c r="K523" t="b">
        <v>0</v>
      </c>
      <c r="L523" t="b">
        <v>0</v>
      </c>
      <c r="M523" t="inlineStr">
        <is>
          <t>AVOID</t>
        </is>
      </c>
    </row>
    <row r="524">
      <c r="A524" t="inlineStr">
        <is>
          <t>OSBC</t>
        </is>
      </c>
      <c r="B524" t="inlineStr">
        <is>
          <t>2026-07-30</t>
        </is>
      </c>
      <c r="C524" t="n">
        <v>25.28</v>
      </c>
      <c r="D524" t="n">
        <v>83.22</v>
      </c>
      <c r="E524" t="n">
        <v>0.4</v>
      </c>
      <c r="F524" t="n">
        <v>23.1</v>
      </c>
      <c r="G524" t="n">
        <v>-0.02</v>
      </c>
      <c r="H524" t="n">
        <v>60</v>
      </c>
      <c r="I524" t="n">
        <v>45</v>
      </c>
      <c r="J524" t="n">
        <v>100</v>
      </c>
      <c r="K524" t="b">
        <v>0</v>
      </c>
      <c r="L524" t="b">
        <v>0</v>
      </c>
      <c r="M524" t="inlineStr">
        <is>
          <t>HIGH CONVICTION</t>
        </is>
      </c>
    </row>
    <row r="525">
      <c r="A525" t="inlineStr">
        <is>
          <t>OSPN</t>
        </is>
      </c>
      <c r="B525" t="inlineStr">
        <is>
          <t>2026-07-30</t>
        </is>
      </c>
      <c r="C525" t="n">
        <v>15.2</v>
      </c>
      <c r="D525" t="n">
        <v>50.49</v>
      </c>
      <c r="E525" t="n">
        <v>0.76</v>
      </c>
      <c r="F525" t="n">
        <v>32.69</v>
      </c>
      <c r="G525" t="n">
        <v>-3.77</v>
      </c>
      <c r="H525" t="n">
        <v>60</v>
      </c>
      <c r="I525" t="n">
        <v>85</v>
      </c>
      <c r="J525" t="n">
        <v>100</v>
      </c>
      <c r="K525" t="b">
        <v>0</v>
      </c>
      <c r="L525" t="b">
        <v>0</v>
      </c>
      <c r="M525" t="inlineStr">
        <is>
          <t>HIGH CONVICTION</t>
        </is>
      </c>
    </row>
    <row r="526">
      <c r="A526" t="inlineStr">
        <is>
          <t>OSUR</t>
        </is>
      </c>
      <c r="B526" t="inlineStr">
        <is>
          <t>2026-07-30</t>
        </is>
      </c>
      <c r="C526" t="n">
        <v>4.01</v>
      </c>
      <c r="D526" t="n">
        <v>34.72</v>
      </c>
      <c r="E526" t="n">
        <v>0.23</v>
      </c>
      <c r="F526" t="n">
        <v>31.74</v>
      </c>
      <c r="G526" t="n">
        <v>-11</v>
      </c>
      <c r="H526" t="n">
        <v>35</v>
      </c>
      <c r="I526" t="n">
        <v>40</v>
      </c>
      <c r="J526" t="n">
        <v>65</v>
      </c>
      <c r="K526" t="b">
        <v>0</v>
      </c>
      <c r="L526" t="b">
        <v>0</v>
      </c>
      <c r="M526" t="inlineStr">
        <is>
          <t>AVOID</t>
        </is>
      </c>
    </row>
    <row r="527">
      <c r="A527" t="inlineStr">
        <is>
          <t>OTEX</t>
        </is>
      </c>
      <c r="B527" t="inlineStr">
        <is>
          <t>2026-07-30</t>
        </is>
      </c>
      <c r="C527" t="n">
        <v>25.3</v>
      </c>
      <c r="D527" t="n">
        <v>61.93</v>
      </c>
      <c r="E527" t="n">
        <v>0.92</v>
      </c>
      <c r="F527" t="n">
        <v>12.94</v>
      </c>
      <c r="G527" t="n">
        <v>-34.29</v>
      </c>
      <c r="H527" t="n">
        <v>35</v>
      </c>
      <c r="I527" t="n">
        <v>45</v>
      </c>
      <c r="J527" t="n">
        <v>45</v>
      </c>
      <c r="K527" t="b">
        <v>0</v>
      </c>
      <c r="L527" t="b">
        <v>0</v>
      </c>
      <c r="M527" t="inlineStr">
        <is>
          <t>AVOID</t>
        </is>
      </c>
    </row>
    <row r="528">
      <c r="A528" t="inlineStr">
        <is>
          <t>OZK</t>
        </is>
      </c>
      <c r="B528" t="inlineStr">
        <is>
          <t>2026-07-30</t>
        </is>
      </c>
      <c r="C528" t="n">
        <v>51.4</v>
      </c>
      <c r="D528" t="n">
        <v>57.73</v>
      </c>
      <c r="E528" t="n">
        <v>0.34</v>
      </c>
      <c r="F528" t="n">
        <v>7.75</v>
      </c>
      <c r="G528" t="n">
        <v>-3.18</v>
      </c>
      <c r="H528" t="n">
        <v>60</v>
      </c>
      <c r="I528" t="n">
        <v>85</v>
      </c>
      <c r="J528" t="n">
        <v>80</v>
      </c>
      <c r="K528" t="b">
        <v>0</v>
      </c>
      <c r="L528" t="b">
        <v>0</v>
      </c>
      <c r="M528" t="inlineStr">
        <is>
          <t>AVOID</t>
        </is>
      </c>
    </row>
    <row r="529">
      <c r="A529" t="inlineStr">
        <is>
          <t>PAAS</t>
        </is>
      </c>
      <c r="B529" t="inlineStr">
        <is>
          <t>2026-07-30</t>
        </is>
      </c>
      <c r="C529" t="n">
        <v>43.65</v>
      </c>
      <c r="D529" t="n">
        <v>49.93</v>
      </c>
      <c r="E529" t="n">
        <v>0.63</v>
      </c>
      <c r="F529" t="n">
        <v>-16.24</v>
      </c>
      <c r="G529" t="n">
        <v>-36.08</v>
      </c>
      <c r="H529" t="n">
        <v>10</v>
      </c>
      <c r="I529" t="n">
        <v>40</v>
      </c>
      <c r="J529" t="n">
        <v>10</v>
      </c>
      <c r="K529" t="b">
        <v>0</v>
      </c>
      <c r="L529" t="b">
        <v>0</v>
      </c>
      <c r="M529" t="inlineStr">
        <is>
          <t>AVOID</t>
        </is>
      </c>
    </row>
    <row r="530">
      <c r="A530" t="inlineStr">
        <is>
          <t>PACB</t>
        </is>
      </c>
      <c r="B530" t="inlineStr">
        <is>
          <t>2026-07-30</t>
        </is>
      </c>
      <c r="C530" t="n">
        <v>1.43</v>
      </c>
      <c r="D530" t="n">
        <v>36.84</v>
      </c>
      <c r="E530" t="n">
        <v>0.31</v>
      </c>
      <c r="F530" t="n">
        <v>-9.75</v>
      </c>
      <c r="G530" t="n">
        <v>-46.25</v>
      </c>
      <c r="H530" t="n">
        <v>10</v>
      </c>
      <c r="I530" t="n">
        <v>15</v>
      </c>
      <c r="J530" t="n">
        <v>10</v>
      </c>
      <c r="K530" t="b">
        <v>0</v>
      </c>
      <c r="L530" t="b">
        <v>0</v>
      </c>
      <c r="M530" t="inlineStr">
        <is>
          <t>AVOID</t>
        </is>
      </c>
    </row>
    <row r="531">
      <c r="A531" t="inlineStr">
        <is>
          <t>PATK</t>
        </is>
      </c>
      <c r="B531" t="inlineStr">
        <is>
          <t>2026-07-30</t>
        </is>
      </c>
      <c r="C531" t="n">
        <v>82.84</v>
      </c>
      <c r="D531" t="n">
        <v>50.35</v>
      </c>
      <c r="E531" t="n">
        <v>0.97</v>
      </c>
      <c r="F531" t="n">
        <v>-10.46</v>
      </c>
      <c r="G531" t="n">
        <v>-42.67</v>
      </c>
      <c r="H531" t="n">
        <v>5</v>
      </c>
      <c r="I531" t="n">
        <v>40</v>
      </c>
      <c r="J531" t="n">
        <v>5</v>
      </c>
      <c r="K531" t="b">
        <v>0</v>
      </c>
      <c r="L531" t="b">
        <v>0</v>
      </c>
      <c r="M531" t="inlineStr">
        <is>
          <t>AVOID</t>
        </is>
      </c>
    </row>
    <row r="532">
      <c r="A532" t="inlineStr">
        <is>
          <t>PAX</t>
        </is>
      </c>
      <c r="B532" t="inlineStr">
        <is>
          <t>2026-07-30</t>
        </is>
      </c>
      <c r="C532" t="n">
        <v>10.94</v>
      </c>
      <c r="D532" t="n">
        <v>47.37</v>
      </c>
      <c r="E532" t="n">
        <v>1.24</v>
      </c>
      <c r="F532" t="n">
        <v>-13.99</v>
      </c>
      <c r="G532" t="n">
        <v>-36.19</v>
      </c>
      <c r="H532" t="n">
        <v>0</v>
      </c>
      <c r="I532" t="n">
        <v>55</v>
      </c>
      <c r="J532" t="n">
        <v>10</v>
      </c>
      <c r="K532" t="b">
        <v>0</v>
      </c>
      <c r="L532" t="b">
        <v>0</v>
      </c>
      <c r="M532" t="inlineStr">
        <is>
          <t>AVOID</t>
        </is>
      </c>
    </row>
    <row r="533">
      <c r="A533" t="inlineStr">
        <is>
          <t>PAYX</t>
        </is>
      </c>
      <c r="B533" t="inlineStr">
        <is>
          <t>2026-07-30</t>
        </is>
      </c>
      <c r="C533" t="n">
        <v>116.38</v>
      </c>
      <c r="D533" t="n">
        <v>64.86</v>
      </c>
      <c r="E533" t="n">
        <v>0.68</v>
      </c>
      <c r="F533" t="n">
        <v>28.58</v>
      </c>
      <c r="G533" t="n">
        <v>-16.73</v>
      </c>
      <c r="H533" t="n">
        <v>60</v>
      </c>
      <c r="I533" t="n">
        <v>70</v>
      </c>
      <c r="J533" t="n">
        <v>80</v>
      </c>
      <c r="K533" t="b">
        <v>0</v>
      </c>
      <c r="L533" t="b">
        <v>0</v>
      </c>
      <c r="M533" t="inlineStr">
        <is>
          <t>AVOID</t>
        </is>
      </c>
    </row>
    <row r="534">
      <c r="A534" t="inlineStr">
        <is>
          <t>PBYI</t>
        </is>
      </c>
      <c r="B534" t="inlineStr">
        <is>
          <t>2026-07-30</t>
        </is>
      </c>
      <c r="C534" t="n">
        <v>7.86</v>
      </c>
      <c r="D534" t="n">
        <v>46.79</v>
      </c>
      <c r="E534" t="n">
        <v>0.42</v>
      </c>
      <c r="F534" t="n">
        <v>4.66</v>
      </c>
      <c r="G534" t="n">
        <v>-8.390000000000001</v>
      </c>
      <c r="H534" t="n">
        <v>45</v>
      </c>
      <c r="I534" t="n">
        <v>70</v>
      </c>
      <c r="J534" t="n">
        <v>55</v>
      </c>
      <c r="K534" t="b">
        <v>0</v>
      </c>
      <c r="L534" t="b">
        <v>0</v>
      </c>
      <c r="M534" t="inlineStr">
        <is>
          <t>AVOID</t>
        </is>
      </c>
    </row>
    <row r="535">
      <c r="A535" t="inlineStr">
        <is>
          <t>PCAR</t>
        </is>
      </c>
      <c r="B535" t="inlineStr">
        <is>
          <t>2026-07-30</t>
        </is>
      </c>
      <c r="C535" t="n">
        <v>134.18</v>
      </c>
      <c r="D535" t="n">
        <v>68.11</v>
      </c>
      <c r="E535" t="n">
        <v>0.67</v>
      </c>
      <c r="F535" t="n">
        <v>13.3</v>
      </c>
      <c r="G535" t="n">
        <v>-2.92</v>
      </c>
      <c r="H535" t="n">
        <v>60</v>
      </c>
      <c r="I535" t="n">
        <v>45</v>
      </c>
      <c r="J535" t="n">
        <v>90</v>
      </c>
      <c r="K535" t="b">
        <v>0</v>
      </c>
      <c r="L535" t="b">
        <v>0</v>
      </c>
      <c r="M535" t="inlineStr">
        <is>
          <t>WATCH</t>
        </is>
      </c>
    </row>
    <row r="536">
      <c r="A536" t="inlineStr">
        <is>
          <t>PCRX</t>
        </is>
      </c>
      <c r="B536" t="inlineStr">
        <is>
          <t>2026-07-30</t>
        </is>
      </c>
      <c r="C536" t="n">
        <v>26.64</v>
      </c>
      <c r="D536" t="n">
        <v>64.36</v>
      </c>
      <c r="E536" t="n">
        <v>0.45</v>
      </c>
      <c r="F536" t="n">
        <v>4.51</v>
      </c>
      <c r="G536" t="n">
        <v>-2.13</v>
      </c>
      <c r="H536" t="n">
        <v>60</v>
      </c>
      <c r="I536" t="n">
        <v>70</v>
      </c>
      <c r="J536" t="n">
        <v>80</v>
      </c>
      <c r="K536" t="b">
        <v>0</v>
      </c>
      <c r="L536" t="b">
        <v>0</v>
      </c>
      <c r="M536" t="inlineStr">
        <is>
          <t>AVOID</t>
        </is>
      </c>
    </row>
    <row r="537">
      <c r="A537" t="inlineStr">
        <is>
          <t>PCTY</t>
        </is>
      </c>
      <c r="B537" t="inlineStr">
        <is>
          <t>2026-07-30</t>
        </is>
      </c>
      <c r="C537" t="n">
        <v>135.15</v>
      </c>
      <c r="D537" t="n">
        <v>65.44</v>
      </c>
      <c r="E537" t="n">
        <v>0.64</v>
      </c>
      <c r="F537" t="n">
        <v>28.12</v>
      </c>
      <c r="G537" t="n">
        <v>-27.66</v>
      </c>
      <c r="H537" t="n">
        <v>50</v>
      </c>
      <c r="I537" t="n">
        <v>45</v>
      </c>
      <c r="J537" t="n">
        <v>70</v>
      </c>
      <c r="K537" t="b">
        <v>0</v>
      </c>
      <c r="L537" t="b">
        <v>0</v>
      </c>
      <c r="M537" t="inlineStr">
        <is>
          <t>AVOID</t>
        </is>
      </c>
    </row>
    <row r="538">
      <c r="A538" t="inlineStr">
        <is>
          <t>PCVX</t>
        </is>
      </c>
      <c r="B538" t="inlineStr">
        <is>
          <t>2026-07-30</t>
        </is>
      </c>
      <c r="C538" t="n">
        <v>55.68</v>
      </c>
      <c r="D538" t="n">
        <v>42.13</v>
      </c>
      <c r="E538" t="n">
        <v>0.45</v>
      </c>
      <c r="F538" t="n">
        <v>-2.73</v>
      </c>
      <c r="G538" t="n">
        <v>-11.68</v>
      </c>
      <c r="H538" t="n">
        <v>45</v>
      </c>
      <c r="I538" t="n">
        <v>60</v>
      </c>
      <c r="J538" t="n">
        <v>45</v>
      </c>
      <c r="K538" t="b">
        <v>0</v>
      </c>
      <c r="L538" t="b">
        <v>0</v>
      </c>
      <c r="M538" t="inlineStr">
        <is>
          <t>AVOID</t>
        </is>
      </c>
    </row>
    <row r="539">
      <c r="A539" t="inlineStr">
        <is>
          <t>PDD</t>
        </is>
      </c>
      <c r="B539" t="inlineStr">
        <is>
          <t>2026-07-30</t>
        </is>
      </c>
      <c r="C539" t="n">
        <v>86.98999999999999</v>
      </c>
      <c r="D539" t="n">
        <v>54.94</v>
      </c>
      <c r="E539" t="n">
        <v>0.53</v>
      </c>
      <c r="F539" t="n">
        <v>-12.91</v>
      </c>
      <c r="G539" t="n">
        <v>-37.02</v>
      </c>
      <c r="H539" t="n">
        <v>35</v>
      </c>
      <c r="I539" t="n">
        <v>60</v>
      </c>
      <c r="J539" t="n">
        <v>35</v>
      </c>
      <c r="K539" t="b">
        <v>0</v>
      </c>
      <c r="L539" t="b">
        <v>0</v>
      </c>
      <c r="M539" t="inlineStr">
        <is>
          <t>AVOID</t>
        </is>
      </c>
    </row>
    <row r="540">
      <c r="A540" t="inlineStr">
        <is>
          <t>PDFS</t>
        </is>
      </c>
      <c r="B540" t="inlineStr">
        <is>
          <t>2026-07-30</t>
        </is>
      </c>
      <c r="C540" t="n">
        <v>45.17</v>
      </c>
      <c r="D540" t="n">
        <v>34.06</v>
      </c>
      <c r="E540" t="n">
        <v>0.4</v>
      </c>
      <c r="F540" t="n">
        <v>5.4</v>
      </c>
      <c r="G540" t="n">
        <v>-36.2</v>
      </c>
      <c r="H540" t="n">
        <v>25</v>
      </c>
      <c r="I540" t="n">
        <v>25</v>
      </c>
      <c r="J540" t="n">
        <v>25</v>
      </c>
      <c r="K540" t="b">
        <v>0</v>
      </c>
      <c r="L540" t="b">
        <v>0</v>
      </c>
      <c r="M540" t="inlineStr">
        <is>
          <t>AVOID</t>
        </is>
      </c>
    </row>
    <row r="541">
      <c r="A541" t="inlineStr">
        <is>
          <t>PEBO</t>
        </is>
      </c>
      <c r="B541" t="inlineStr">
        <is>
          <t>2026-07-30</t>
        </is>
      </c>
      <c r="C541" t="n">
        <v>41.88</v>
      </c>
      <c r="D541" t="n">
        <v>78.36</v>
      </c>
      <c r="E541" t="n">
        <v>0.5</v>
      </c>
      <c r="F541" t="n">
        <v>23.24</v>
      </c>
      <c r="G541" t="n">
        <v>-0.83</v>
      </c>
      <c r="H541" t="n">
        <v>60</v>
      </c>
      <c r="I541" t="n">
        <v>45</v>
      </c>
      <c r="J541" t="n">
        <v>100</v>
      </c>
      <c r="K541" t="b">
        <v>0</v>
      </c>
      <c r="L541" t="b">
        <v>0</v>
      </c>
      <c r="M541" t="inlineStr">
        <is>
          <t>HIGH CONVICTION</t>
        </is>
      </c>
    </row>
    <row r="542">
      <c r="A542" t="inlineStr">
        <is>
          <t>PEGA</t>
        </is>
      </c>
      <c r="B542" t="inlineStr">
        <is>
          <t>2026-07-30</t>
        </is>
      </c>
      <c r="C542" t="n">
        <v>29.72</v>
      </c>
      <c r="D542" t="n">
        <v>45.61</v>
      </c>
      <c r="E542" t="n">
        <v>0.61</v>
      </c>
      <c r="F542" t="n">
        <v>-18.61</v>
      </c>
      <c r="G542" t="n">
        <v>-55.3</v>
      </c>
      <c r="H542" t="n">
        <v>0</v>
      </c>
      <c r="I542" t="n">
        <v>40</v>
      </c>
      <c r="J542" t="n">
        <v>0</v>
      </c>
      <c r="K542" t="b">
        <v>0</v>
      </c>
      <c r="L542" t="b">
        <v>0</v>
      </c>
      <c r="M542" t="inlineStr">
        <is>
          <t>AVOID</t>
        </is>
      </c>
    </row>
    <row r="543">
      <c r="A543" t="inlineStr">
        <is>
          <t>PENN</t>
        </is>
      </c>
      <c r="B543" t="inlineStr">
        <is>
          <t>2026-07-30</t>
        </is>
      </c>
      <c r="C543" t="n">
        <v>20.74</v>
      </c>
      <c r="D543" t="n">
        <v>53.46</v>
      </c>
      <c r="E543" t="n">
        <v>0.61</v>
      </c>
      <c r="F543" t="n">
        <v>18.76</v>
      </c>
      <c r="G543" t="n">
        <v>-6.01</v>
      </c>
      <c r="H543" t="n">
        <v>50</v>
      </c>
      <c r="I543" t="n">
        <v>85</v>
      </c>
      <c r="J543" t="n">
        <v>70</v>
      </c>
      <c r="K543" t="b">
        <v>0</v>
      </c>
      <c r="L543" t="b">
        <v>0</v>
      </c>
      <c r="M543" t="inlineStr">
        <is>
          <t>AVOID</t>
        </is>
      </c>
    </row>
    <row r="544">
      <c r="A544" t="inlineStr">
        <is>
          <t>PEP</t>
        </is>
      </c>
      <c r="B544" t="inlineStr">
        <is>
          <t>2026-07-30</t>
        </is>
      </c>
      <c r="C544" t="n">
        <v>140.17</v>
      </c>
      <c r="D544" t="n">
        <v>55.39</v>
      </c>
      <c r="E544" t="n">
        <v>0.55</v>
      </c>
      <c r="F544" t="n">
        <v>-10.63</v>
      </c>
      <c r="G544" t="n">
        <v>-16.18</v>
      </c>
      <c r="H544" t="n">
        <v>15</v>
      </c>
      <c r="I544" t="n">
        <v>40</v>
      </c>
      <c r="J544" t="n">
        <v>15</v>
      </c>
      <c r="K544" t="b">
        <v>0</v>
      </c>
      <c r="L544" t="b">
        <v>0</v>
      </c>
      <c r="M544" t="inlineStr">
        <is>
          <t>AVOID</t>
        </is>
      </c>
    </row>
    <row r="545">
      <c r="A545" t="inlineStr">
        <is>
          <t>PFG</t>
        </is>
      </c>
      <c r="B545" t="inlineStr">
        <is>
          <t>2026-07-30</t>
        </is>
      </c>
      <c r="C545" t="n">
        <v>113.94</v>
      </c>
      <c r="D545" t="n">
        <v>54.71</v>
      </c>
      <c r="E545" t="n">
        <v>0.39</v>
      </c>
      <c r="F545" t="n">
        <v>13.81</v>
      </c>
      <c r="G545" t="n">
        <v>-0.13</v>
      </c>
      <c r="H545" t="n">
        <v>60</v>
      </c>
      <c r="I545" t="n">
        <v>85</v>
      </c>
      <c r="J545" t="n">
        <v>100</v>
      </c>
      <c r="K545" t="b">
        <v>0</v>
      </c>
      <c r="L545" t="b">
        <v>0</v>
      </c>
      <c r="M545" t="inlineStr">
        <is>
          <t>HIGH CONVICTION</t>
        </is>
      </c>
    </row>
    <row r="546">
      <c r="A546" t="inlineStr">
        <is>
          <t>PFLT</t>
        </is>
      </c>
      <c r="B546" t="inlineStr">
        <is>
          <t>2026-07-30</t>
        </is>
      </c>
      <c r="C546" t="n">
        <v>6.99</v>
      </c>
      <c r="D546" t="n">
        <v>45.98</v>
      </c>
      <c r="E546" t="n">
        <v>0.47</v>
      </c>
      <c r="F546" t="n">
        <v>-19.38</v>
      </c>
      <c r="G546" t="n">
        <v>-23.76</v>
      </c>
      <c r="H546" t="n">
        <v>0</v>
      </c>
      <c r="I546" t="n">
        <v>40</v>
      </c>
      <c r="J546" t="n">
        <v>0</v>
      </c>
      <c r="K546" t="b">
        <v>0</v>
      </c>
      <c r="L546" t="b">
        <v>0</v>
      </c>
      <c r="M546" t="inlineStr">
        <is>
          <t>AVOID</t>
        </is>
      </c>
    </row>
    <row r="547">
      <c r="A547" t="inlineStr">
        <is>
          <t>PGNY</t>
        </is>
      </c>
      <c r="B547" t="inlineStr">
        <is>
          <t>2026-07-30</t>
        </is>
      </c>
      <c r="C547" t="n">
        <v>31.19</v>
      </c>
      <c r="D547" t="n">
        <v>53.88</v>
      </c>
      <c r="E547" t="n">
        <v>0.36</v>
      </c>
      <c r="F547" t="n">
        <v>67.87</v>
      </c>
      <c r="G547" t="n">
        <v>-3.62</v>
      </c>
      <c r="H547" t="n">
        <v>50</v>
      </c>
      <c r="I547" t="n">
        <v>85</v>
      </c>
      <c r="J547" t="n">
        <v>100</v>
      </c>
      <c r="K547" t="b">
        <v>0</v>
      </c>
      <c r="L547" t="b">
        <v>0</v>
      </c>
      <c r="M547" t="inlineStr">
        <is>
          <t>HIGH CONVICTION</t>
        </is>
      </c>
    </row>
    <row r="548">
      <c r="A548" t="inlineStr">
        <is>
          <t>PHAT</t>
        </is>
      </c>
      <c r="B548" t="inlineStr">
        <is>
          <t>2026-07-30</t>
        </is>
      </c>
      <c r="C548" t="n">
        <v>8.869999999999999</v>
      </c>
      <c r="D548" t="n">
        <v>23.77</v>
      </c>
      <c r="E548" t="n">
        <v>4.31</v>
      </c>
      <c r="F548" t="n">
        <v>-20.8</v>
      </c>
      <c r="G548" t="n">
        <v>-50.94</v>
      </c>
      <c r="H548" t="n">
        <v>10</v>
      </c>
      <c r="I548" t="n">
        <v>15</v>
      </c>
      <c r="J548" t="n">
        <v>40</v>
      </c>
      <c r="K548" t="b">
        <v>0</v>
      </c>
      <c r="L548" t="b">
        <v>0</v>
      </c>
      <c r="M548" t="inlineStr">
        <is>
          <t>AVOID</t>
        </is>
      </c>
    </row>
    <row r="549">
      <c r="A549" t="inlineStr">
        <is>
          <t>PI</t>
        </is>
      </c>
      <c r="B549" t="inlineStr">
        <is>
          <t>2026-07-30</t>
        </is>
      </c>
      <c r="C549" t="n">
        <v>147.45</v>
      </c>
      <c r="D549" t="n">
        <v>53.73</v>
      </c>
      <c r="E549" t="n">
        <v>2.42</v>
      </c>
      <c r="F549" t="n">
        <v>1.75</v>
      </c>
      <c r="G549" t="n">
        <v>-39.05</v>
      </c>
      <c r="H549" t="n">
        <v>50</v>
      </c>
      <c r="I549" t="n">
        <v>85</v>
      </c>
      <c r="J549" t="n">
        <v>80</v>
      </c>
      <c r="K549" t="b">
        <v>0</v>
      </c>
      <c r="L549" t="b">
        <v>0</v>
      </c>
      <c r="M549" t="inlineStr">
        <is>
          <t>AVOID</t>
        </is>
      </c>
    </row>
    <row r="550">
      <c r="A550" t="inlineStr">
        <is>
          <t>PLAB</t>
        </is>
      </c>
      <c r="B550" t="inlineStr">
        <is>
          <t>2026-07-30</t>
        </is>
      </c>
      <c r="C550" t="n">
        <v>29.76</v>
      </c>
      <c r="D550" t="n">
        <v>49.37</v>
      </c>
      <c r="E550" t="n">
        <v>0.38</v>
      </c>
      <c r="F550" t="n">
        <v>-39.85</v>
      </c>
      <c r="G550" t="n">
        <v>-45.85</v>
      </c>
      <c r="H550" t="n">
        <v>10</v>
      </c>
      <c r="I550" t="n">
        <v>40</v>
      </c>
      <c r="J550" t="n">
        <v>10</v>
      </c>
      <c r="K550" t="b">
        <v>0</v>
      </c>
      <c r="L550" t="b">
        <v>0</v>
      </c>
      <c r="M550" t="inlineStr">
        <is>
          <t>AVOID</t>
        </is>
      </c>
    </row>
    <row r="551">
      <c r="A551" t="inlineStr">
        <is>
          <t>PLAY</t>
        </is>
      </c>
      <c r="B551" t="inlineStr">
        <is>
          <t>2026-07-30</t>
        </is>
      </c>
      <c r="C551" t="n">
        <v>10.52</v>
      </c>
      <c r="D551" t="n">
        <v>50.71</v>
      </c>
      <c r="E551" t="n">
        <v>0.38</v>
      </c>
      <c r="F551" t="n">
        <v>-6.65</v>
      </c>
      <c r="G551" t="n">
        <v>-65.52</v>
      </c>
      <c r="H551" t="n">
        <v>15</v>
      </c>
      <c r="I551" t="n">
        <v>40</v>
      </c>
      <c r="J551" t="n">
        <v>15</v>
      </c>
      <c r="K551" t="b">
        <v>0</v>
      </c>
      <c r="L551" t="b">
        <v>0</v>
      </c>
      <c r="M551" t="inlineStr">
        <is>
          <t>AVOID</t>
        </is>
      </c>
    </row>
    <row r="552">
      <c r="A552" t="inlineStr">
        <is>
          <t>PLMR</t>
        </is>
      </c>
      <c r="B552" t="inlineStr">
        <is>
          <t>2026-07-30</t>
        </is>
      </c>
      <c r="C552" t="n">
        <v>136.09</v>
      </c>
      <c r="D552" t="n">
        <v>50.01</v>
      </c>
      <c r="E552" t="n">
        <v>0.4</v>
      </c>
      <c r="F552" t="n">
        <v>13.05</v>
      </c>
      <c r="G552" t="n">
        <v>-6.34</v>
      </c>
      <c r="H552" t="n">
        <v>40</v>
      </c>
      <c r="I552" t="n">
        <v>85</v>
      </c>
      <c r="J552" t="n">
        <v>60</v>
      </c>
      <c r="K552" t="b">
        <v>0</v>
      </c>
      <c r="L552" t="b">
        <v>0</v>
      </c>
      <c r="M552" t="inlineStr">
        <is>
          <t>AVOID</t>
        </is>
      </c>
    </row>
    <row r="553">
      <c r="A553" t="inlineStr">
        <is>
          <t>PLRX</t>
        </is>
      </c>
      <c r="B553" t="inlineStr">
        <is>
          <t>2026-07-30</t>
        </is>
      </c>
      <c r="C553" t="n">
        <v>1.07</v>
      </c>
      <c r="D553" t="n">
        <v>42.86</v>
      </c>
      <c r="E553" t="n">
        <v>0.21</v>
      </c>
      <c r="F553" t="n">
        <v>-12.3</v>
      </c>
      <c r="G553" t="n">
        <v>-42.78</v>
      </c>
      <c r="H553" t="n">
        <v>0</v>
      </c>
      <c r="I553" t="n">
        <v>0</v>
      </c>
      <c r="J553" t="n">
        <v>0</v>
      </c>
      <c r="K553" t="b">
        <v>0</v>
      </c>
      <c r="L553" t="b">
        <v>0</v>
      </c>
      <c r="M553" t="inlineStr">
        <is>
          <t>AVOID</t>
        </is>
      </c>
    </row>
    <row r="554">
      <c r="A554" t="inlineStr">
        <is>
          <t>PLSE</t>
        </is>
      </c>
      <c r="B554" t="inlineStr">
        <is>
          <t>2026-07-30</t>
        </is>
      </c>
      <c r="C554" t="n">
        <v>35.6</v>
      </c>
      <c r="D554" t="n">
        <v>75.2</v>
      </c>
      <c r="E554" t="n">
        <v>0.48</v>
      </c>
      <c r="F554" t="n">
        <v>68.16</v>
      </c>
      <c r="G554" t="n">
        <v>0</v>
      </c>
      <c r="H554" t="n">
        <v>60</v>
      </c>
      <c r="I554" t="n">
        <v>45</v>
      </c>
      <c r="J554" t="n">
        <v>100</v>
      </c>
      <c r="K554" t="b">
        <v>1</v>
      </c>
      <c r="L554" t="b">
        <v>0</v>
      </c>
      <c r="M554" t="inlineStr">
        <is>
          <t>ELITE LEADER</t>
        </is>
      </c>
    </row>
    <row r="555">
      <c r="A555" t="inlineStr">
        <is>
          <t>PLTK</t>
        </is>
      </c>
      <c r="B555" t="inlineStr">
        <is>
          <t>2026-07-30</t>
        </is>
      </c>
      <c r="C555" t="n">
        <v>3.97</v>
      </c>
      <c r="D555" t="n">
        <v>53.08</v>
      </c>
      <c r="E555" t="n">
        <v>0.53</v>
      </c>
      <c r="F555" t="n">
        <v>8.76</v>
      </c>
      <c r="G555" t="n">
        <v>-6.75</v>
      </c>
      <c r="H555" t="n">
        <v>60</v>
      </c>
      <c r="I555" t="n">
        <v>85</v>
      </c>
      <c r="J555" t="n">
        <v>70</v>
      </c>
      <c r="K555" t="b">
        <v>0</v>
      </c>
      <c r="L555" t="b">
        <v>0</v>
      </c>
      <c r="M555" t="inlineStr">
        <is>
          <t>AVOID</t>
        </is>
      </c>
    </row>
    <row r="556">
      <c r="A556" t="inlineStr">
        <is>
          <t>PLUG</t>
        </is>
      </c>
      <c r="B556" t="inlineStr">
        <is>
          <t>2026-07-30</t>
        </is>
      </c>
      <c r="C556" t="n">
        <v>2.06</v>
      </c>
      <c r="D556" t="n">
        <v>41.58</v>
      </c>
      <c r="E556" t="n">
        <v>0.8100000000000001</v>
      </c>
      <c r="F556" t="n">
        <v>-34.19</v>
      </c>
      <c r="G556" t="n">
        <v>-50.24</v>
      </c>
      <c r="H556" t="n">
        <v>10</v>
      </c>
      <c r="I556" t="n">
        <v>0</v>
      </c>
      <c r="J556" t="n">
        <v>10</v>
      </c>
      <c r="K556" t="b">
        <v>0</v>
      </c>
      <c r="L556" t="b">
        <v>0</v>
      </c>
      <c r="M556" t="inlineStr">
        <is>
          <t>AVOID</t>
        </is>
      </c>
    </row>
    <row r="557">
      <c r="A557" t="inlineStr">
        <is>
          <t>PLXS</t>
        </is>
      </c>
      <c r="B557" t="inlineStr">
        <is>
          <t>2026-07-30</t>
        </is>
      </c>
      <c r="C557" t="n">
        <v>242.55</v>
      </c>
      <c r="D557" t="n">
        <v>29.43</v>
      </c>
      <c r="E557" t="n">
        <v>1.79</v>
      </c>
      <c r="F557" t="n">
        <v>-3.2</v>
      </c>
      <c r="G557" t="n">
        <v>-20.16</v>
      </c>
      <c r="H557" t="n">
        <v>25</v>
      </c>
      <c r="I557" t="n">
        <v>40</v>
      </c>
      <c r="J557" t="n">
        <v>45</v>
      </c>
      <c r="K557" t="b">
        <v>0</v>
      </c>
      <c r="L557" t="b">
        <v>0</v>
      </c>
      <c r="M557" t="inlineStr">
        <is>
          <t>AVOID</t>
        </is>
      </c>
    </row>
    <row r="558">
      <c r="A558" t="inlineStr">
        <is>
          <t>PMVP</t>
        </is>
      </c>
      <c r="B558" t="inlineStr">
        <is>
          <t>2026-07-30</t>
        </is>
      </c>
      <c r="C558" t="n">
        <v>1.11</v>
      </c>
      <c r="D558" t="n">
        <v>40.94</v>
      </c>
      <c r="E558" t="n">
        <v>1.36</v>
      </c>
      <c r="F558" t="n">
        <v>-20.5</v>
      </c>
      <c r="G558" t="n">
        <v>-38.61</v>
      </c>
      <c r="H558" t="n">
        <v>10</v>
      </c>
      <c r="I558" t="n">
        <v>15</v>
      </c>
      <c r="J558" t="n">
        <v>20</v>
      </c>
      <c r="K558" t="b">
        <v>0</v>
      </c>
      <c r="L558" t="b">
        <v>0</v>
      </c>
      <c r="M558" t="inlineStr">
        <is>
          <t>AVOID</t>
        </is>
      </c>
    </row>
    <row r="559">
      <c r="A559" t="inlineStr">
        <is>
          <t>PNFP</t>
        </is>
      </c>
      <c r="B559" t="inlineStr">
        <is>
          <t>2026-07-30</t>
        </is>
      </c>
      <c r="C559" t="n">
        <v>105.02</v>
      </c>
      <c r="D559" t="n">
        <v>60.91</v>
      </c>
      <c r="E559" t="n">
        <v>0.33</v>
      </c>
      <c r="F559" t="n">
        <v>6.68</v>
      </c>
      <c r="G559" t="n">
        <v>-0.22</v>
      </c>
      <c r="H559" t="n">
        <v>60</v>
      </c>
      <c r="I559" t="n">
        <v>70</v>
      </c>
      <c r="J559" t="n">
        <v>90</v>
      </c>
      <c r="K559" t="b">
        <v>0</v>
      </c>
      <c r="L559" t="b">
        <v>0</v>
      </c>
      <c r="M559" t="inlineStr">
        <is>
          <t>WATCH</t>
        </is>
      </c>
    </row>
    <row r="560">
      <c r="A560" t="inlineStr">
        <is>
          <t>PODD</t>
        </is>
      </c>
      <c r="B560" t="inlineStr">
        <is>
          <t>2026-07-30</t>
        </is>
      </c>
      <c r="C560" t="n">
        <v>163.87</v>
      </c>
      <c r="D560" t="n">
        <v>53.18</v>
      </c>
      <c r="E560" t="n">
        <v>0.54</v>
      </c>
      <c r="F560" t="n">
        <v>-4.8</v>
      </c>
      <c r="G560" t="n">
        <v>-53.55</v>
      </c>
      <c r="H560" t="n">
        <v>35</v>
      </c>
      <c r="I560" t="n">
        <v>60</v>
      </c>
      <c r="J560" t="n">
        <v>35</v>
      </c>
      <c r="K560" t="b">
        <v>0</v>
      </c>
      <c r="L560" t="b">
        <v>0</v>
      </c>
      <c r="M560" t="inlineStr">
        <is>
          <t>AVOID</t>
        </is>
      </c>
    </row>
    <row r="561">
      <c r="A561" t="inlineStr">
        <is>
          <t>POOL</t>
        </is>
      </c>
      <c r="B561" t="inlineStr">
        <is>
          <t>2026-07-30</t>
        </is>
      </c>
      <c r="C561" t="n">
        <v>187.73</v>
      </c>
      <c r="D561" t="n">
        <v>29.28</v>
      </c>
      <c r="E561" t="n">
        <v>0.55</v>
      </c>
      <c r="F561" t="n">
        <v>-11.34</v>
      </c>
      <c r="G561" t="n">
        <v>-42.69</v>
      </c>
      <c r="H561" t="n">
        <v>10</v>
      </c>
      <c r="I561" t="n">
        <v>0</v>
      </c>
      <c r="J561" t="n">
        <v>10</v>
      </c>
      <c r="K561" t="b">
        <v>0</v>
      </c>
      <c r="L561" t="b">
        <v>0</v>
      </c>
      <c r="M561" t="inlineStr">
        <is>
          <t>AVOID</t>
        </is>
      </c>
    </row>
    <row r="562">
      <c r="A562" t="inlineStr">
        <is>
          <t>POWI</t>
        </is>
      </c>
      <c r="B562" t="inlineStr">
        <is>
          <t>2026-07-30</t>
        </is>
      </c>
      <c r="C562" t="n">
        <v>60.42</v>
      </c>
      <c r="D562" t="n">
        <v>31.56</v>
      </c>
      <c r="E562" t="n">
        <v>0.58</v>
      </c>
      <c r="F562" t="n">
        <v>-16.7</v>
      </c>
      <c r="G562" t="n">
        <v>-30.84</v>
      </c>
      <c r="H562" t="n">
        <v>25</v>
      </c>
      <c r="I562" t="n">
        <v>25</v>
      </c>
      <c r="J562" t="n">
        <v>25</v>
      </c>
      <c r="K562" t="b">
        <v>0</v>
      </c>
      <c r="L562" t="b">
        <v>0</v>
      </c>
      <c r="M562" t="inlineStr">
        <is>
          <t>AVOID</t>
        </is>
      </c>
    </row>
    <row r="563">
      <c r="A563" t="inlineStr">
        <is>
          <t>POWL</t>
        </is>
      </c>
      <c r="B563" t="inlineStr">
        <is>
          <t>2026-07-30</t>
        </is>
      </c>
      <c r="C563" t="n">
        <v>208.81</v>
      </c>
      <c r="D563" t="n">
        <v>42.03</v>
      </c>
      <c r="E563" t="n">
        <v>0.68</v>
      </c>
      <c r="F563" t="n">
        <v>-24.66</v>
      </c>
      <c r="G563" t="n">
        <v>-35.14</v>
      </c>
      <c r="H563" t="n">
        <v>25</v>
      </c>
      <c r="I563" t="n">
        <v>25</v>
      </c>
      <c r="J563" t="n">
        <v>25</v>
      </c>
      <c r="K563" t="b">
        <v>0</v>
      </c>
      <c r="L563" t="b">
        <v>0</v>
      </c>
      <c r="M563" t="inlineStr">
        <is>
          <t>AVOID</t>
        </is>
      </c>
    </row>
    <row r="564">
      <c r="A564" t="inlineStr">
        <is>
          <t>PPC</t>
        </is>
      </c>
      <c r="B564" t="inlineStr">
        <is>
          <t>2026-07-30</t>
        </is>
      </c>
      <c r="C564" t="n">
        <v>28.98</v>
      </c>
      <c r="D564" t="n">
        <v>56.37</v>
      </c>
      <c r="E564" t="n">
        <v>0.95</v>
      </c>
      <c r="F564" t="n">
        <v>-12.45</v>
      </c>
      <c r="G564" t="n">
        <v>-39.87</v>
      </c>
      <c r="H564" t="n">
        <v>35</v>
      </c>
      <c r="I564" t="n">
        <v>60</v>
      </c>
      <c r="J564" t="n">
        <v>35</v>
      </c>
      <c r="K564" t="b">
        <v>0</v>
      </c>
      <c r="L564" t="b">
        <v>0</v>
      </c>
      <c r="M564" t="inlineStr">
        <is>
          <t>AVOID</t>
        </is>
      </c>
    </row>
    <row r="565">
      <c r="A565" t="inlineStr">
        <is>
          <t>PRAA</t>
        </is>
      </c>
      <c r="B565" t="inlineStr">
        <is>
          <t>2026-07-30</t>
        </is>
      </c>
      <c r="C565" t="n">
        <v>17.23</v>
      </c>
      <c r="D565" t="n">
        <v>39.67</v>
      </c>
      <c r="E565" t="n">
        <v>0.27</v>
      </c>
      <c r="F565" t="n">
        <v>-20.95</v>
      </c>
      <c r="G565" t="n">
        <v>-22.51</v>
      </c>
      <c r="H565" t="n">
        <v>45</v>
      </c>
      <c r="I565" t="n">
        <v>45</v>
      </c>
      <c r="J565" t="n">
        <v>45</v>
      </c>
      <c r="K565" t="b">
        <v>0</v>
      </c>
      <c r="L565" t="b">
        <v>0</v>
      </c>
      <c r="M565" t="inlineStr">
        <is>
          <t>AVOID</t>
        </is>
      </c>
    </row>
    <row r="566">
      <c r="A566" t="inlineStr">
        <is>
          <t>PRAX</t>
        </is>
      </c>
      <c r="B566" t="inlineStr">
        <is>
          <t>2026-07-30</t>
        </is>
      </c>
      <c r="C566" t="n">
        <v>305.61</v>
      </c>
      <c r="D566" t="n">
        <v>43.1</v>
      </c>
      <c r="E566" t="n">
        <v>1.04</v>
      </c>
      <c r="F566" t="n">
        <v>-4.14</v>
      </c>
      <c r="G566" t="n">
        <v>-14.42</v>
      </c>
      <c r="H566" t="n">
        <v>35</v>
      </c>
      <c r="I566" t="n">
        <v>40</v>
      </c>
      <c r="J566" t="n">
        <v>35</v>
      </c>
      <c r="K566" t="b">
        <v>0</v>
      </c>
      <c r="L566" t="b">
        <v>0</v>
      </c>
      <c r="M566" t="inlineStr">
        <is>
          <t>AVOID</t>
        </is>
      </c>
    </row>
    <row r="567">
      <c r="A567" t="inlineStr">
        <is>
          <t>PRCH</t>
        </is>
      </c>
      <c r="B567" t="inlineStr">
        <is>
          <t>2026-07-30</t>
        </is>
      </c>
      <c r="C567" t="n">
        <v>14.48</v>
      </c>
      <c r="D567" t="n">
        <v>47.7</v>
      </c>
      <c r="E567" t="n">
        <v>1.55</v>
      </c>
      <c r="F567" t="n">
        <v>50.36</v>
      </c>
      <c r="G567" t="n">
        <v>-23.95</v>
      </c>
      <c r="H567" t="n">
        <v>55</v>
      </c>
      <c r="I567" t="n">
        <v>85</v>
      </c>
      <c r="J567" t="n">
        <v>100</v>
      </c>
      <c r="K567" t="b">
        <v>0</v>
      </c>
      <c r="L567" t="b">
        <v>0</v>
      </c>
      <c r="M567" t="inlineStr">
        <is>
          <t>HIGH CONVICTION</t>
        </is>
      </c>
    </row>
    <row r="568">
      <c r="A568" t="inlineStr">
        <is>
          <t>PRDO</t>
        </is>
      </c>
      <c r="B568" t="inlineStr">
        <is>
          <t>2026-07-30</t>
        </is>
      </c>
      <c r="C568" t="n">
        <v>33.05</v>
      </c>
      <c r="D568" t="n">
        <v>41.75</v>
      </c>
      <c r="E568" t="n">
        <v>0.45</v>
      </c>
      <c r="F568" t="n">
        <v>-2.17</v>
      </c>
      <c r="G568" t="n">
        <v>-12.51</v>
      </c>
      <c r="H568" t="n">
        <v>25</v>
      </c>
      <c r="I568" t="n">
        <v>40</v>
      </c>
      <c r="J568" t="n">
        <v>25</v>
      </c>
      <c r="K568" t="b">
        <v>0</v>
      </c>
      <c r="L568" t="b">
        <v>0</v>
      </c>
      <c r="M568" t="inlineStr">
        <is>
          <t>AVOID</t>
        </is>
      </c>
    </row>
    <row r="569">
      <c r="A569" t="inlineStr">
        <is>
          <t>PRGS</t>
        </is>
      </c>
      <c r="B569" t="inlineStr">
        <is>
          <t>2026-07-30</t>
        </is>
      </c>
      <c r="C569" t="n">
        <v>40</v>
      </c>
      <c r="D569" t="n">
        <v>56.56</v>
      </c>
      <c r="E569" t="n">
        <v>0.5</v>
      </c>
      <c r="F569" t="n">
        <v>43.63</v>
      </c>
      <c r="G569" t="n">
        <v>-18.57</v>
      </c>
      <c r="H569" t="n">
        <v>50</v>
      </c>
      <c r="I569" t="n">
        <v>85</v>
      </c>
      <c r="J569" t="n">
        <v>80</v>
      </c>
      <c r="K569" t="b">
        <v>0</v>
      </c>
      <c r="L569" t="b">
        <v>0</v>
      </c>
      <c r="M569" t="inlineStr">
        <is>
          <t>AVOID</t>
        </is>
      </c>
    </row>
    <row r="570">
      <c r="A570" t="inlineStr">
        <is>
          <t>PRIM</t>
        </is>
      </c>
      <c r="B570" t="inlineStr">
        <is>
          <t>2026-07-30</t>
        </is>
      </c>
      <c r="C570" t="n">
        <v>83.64</v>
      </c>
      <c r="D570" t="n">
        <v>46.39</v>
      </c>
      <c r="E570" t="n">
        <v>0.5600000000000001</v>
      </c>
      <c r="F570" t="n">
        <v>-53.79</v>
      </c>
      <c r="G570" t="n">
        <v>-58.75</v>
      </c>
      <c r="H570" t="n">
        <v>0</v>
      </c>
      <c r="I570" t="n">
        <v>25</v>
      </c>
      <c r="J570" t="n">
        <v>0</v>
      </c>
      <c r="K570" t="b">
        <v>0</v>
      </c>
      <c r="L570" t="b">
        <v>0</v>
      </c>
      <c r="M570" t="inlineStr">
        <is>
          <t>AVOID</t>
        </is>
      </c>
    </row>
    <row r="571">
      <c r="A571" t="inlineStr">
        <is>
          <t>PRLD</t>
        </is>
      </c>
      <c r="B571" t="inlineStr">
        <is>
          <t>2026-07-30</t>
        </is>
      </c>
      <c r="C571" t="n">
        <v>4.96</v>
      </c>
      <c r="D571" t="n">
        <v>53.38</v>
      </c>
      <c r="E571" t="n">
        <v>0.45</v>
      </c>
      <c r="F571" t="n">
        <v>-5.16</v>
      </c>
      <c r="G571" t="n">
        <v>-10.14</v>
      </c>
      <c r="H571" t="n">
        <v>60</v>
      </c>
      <c r="I571" t="n">
        <v>70</v>
      </c>
      <c r="J571" t="n">
        <v>60</v>
      </c>
      <c r="K571" t="b">
        <v>0</v>
      </c>
      <c r="L571" t="b">
        <v>0</v>
      </c>
      <c r="M571" t="inlineStr">
        <is>
          <t>AVOID</t>
        </is>
      </c>
    </row>
    <row r="572">
      <c r="A572" t="inlineStr">
        <is>
          <t>PRTA</t>
        </is>
      </c>
      <c r="B572" t="inlineStr">
        <is>
          <t>2026-07-30</t>
        </is>
      </c>
      <c r="C572" t="n">
        <v>8.49</v>
      </c>
      <c r="D572" t="n">
        <v>31.42</v>
      </c>
      <c r="E572" t="n">
        <v>0.49</v>
      </c>
      <c r="F572" t="n">
        <v>-23.19</v>
      </c>
      <c r="G572" t="n">
        <v>-26.19</v>
      </c>
      <c r="H572" t="n">
        <v>0</v>
      </c>
      <c r="I572" t="n">
        <v>0</v>
      </c>
      <c r="J572" t="n">
        <v>0</v>
      </c>
      <c r="K572" t="b">
        <v>0</v>
      </c>
      <c r="L572" t="b">
        <v>0</v>
      </c>
      <c r="M572" t="inlineStr">
        <is>
          <t>AVOID</t>
        </is>
      </c>
    </row>
    <row r="573">
      <c r="A573" t="inlineStr">
        <is>
          <t>PSNL</t>
        </is>
      </c>
      <c r="B573" t="inlineStr">
        <is>
          <t>2026-07-30</t>
        </is>
      </c>
      <c r="C573" t="n">
        <v>12.01</v>
      </c>
      <c r="D573" t="n">
        <v>34.58</v>
      </c>
      <c r="E573" t="n">
        <v>0.32</v>
      </c>
      <c r="F573" t="n">
        <v>117.57</v>
      </c>
      <c r="G573" t="n">
        <v>-23.94</v>
      </c>
      <c r="H573" t="n">
        <v>45</v>
      </c>
      <c r="I573" t="n">
        <v>45</v>
      </c>
      <c r="J573" t="n">
        <v>85</v>
      </c>
      <c r="K573" t="b">
        <v>0</v>
      </c>
      <c r="L573" t="b">
        <v>0</v>
      </c>
      <c r="M573" t="inlineStr">
        <is>
          <t>WATCH</t>
        </is>
      </c>
    </row>
    <row r="574">
      <c r="A574" t="inlineStr">
        <is>
          <t>PTC</t>
        </is>
      </c>
      <c r="B574" t="inlineStr">
        <is>
          <t>2026-07-30</t>
        </is>
      </c>
      <c r="C574" t="n">
        <v>138.85</v>
      </c>
      <c r="D574" t="n">
        <v>64.26000000000001</v>
      </c>
      <c r="E574" t="n">
        <v>1.43</v>
      </c>
      <c r="F574" t="n">
        <v>1.87</v>
      </c>
      <c r="G574" t="n">
        <v>-35.87</v>
      </c>
      <c r="H574" t="n">
        <v>25</v>
      </c>
      <c r="I574" t="n">
        <v>60</v>
      </c>
      <c r="J574" t="n">
        <v>35</v>
      </c>
      <c r="K574" t="b">
        <v>0</v>
      </c>
      <c r="L574" t="b">
        <v>0</v>
      </c>
      <c r="M574" t="inlineStr">
        <is>
          <t>AVOID</t>
        </is>
      </c>
    </row>
    <row r="575">
      <c r="A575" t="inlineStr">
        <is>
          <t>PTCT</t>
        </is>
      </c>
      <c r="B575" t="inlineStr">
        <is>
          <t>2026-07-30</t>
        </is>
      </c>
      <c r="C575" t="n">
        <v>75.61</v>
      </c>
      <c r="D575" t="n">
        <v>17.6</v>
      </c>
      <c r="E575" t="n">
        <v>0.36</v>
      </c>
      <c r="F575" t="n">
        <v>16.22</v>
      </c>
      <c r="G575" t="n">
        <v>-15.57</v>
      </c>
      <c r="H575" t="n">
        <v>35</v>
      </c>
      <c r="I575" t="n">
        <v>25</v>
      </c>
      <c r="J575" t="n">
        <v>45</v>
      </c>
      <c r="K575" t="b">
        <v>0</v>
      </c>
      <c r="L575" t="b">
        <v>0</v>
      </c>
      <c r="M575" t="inlineStr">
        <is>
          <t>AVOID</t>
        </is>
      </c>
    </row>
    <row r="576">
      <c r="A576" t="inlineStr">
        <is>
          <t>PTGX</t>
        </is>
      </c>
      <c r="B576" t="inlineStr">
        <is>
          <t>2026-07-30</t>
        </is>
      </c>
      <c r="C576" t="n">
        <v>137.49</v>
      </c>
      <c r="D576" t="n">
        <v>56.92</v>
      </c>
      <c r="E576" t="n">
        <v>0.43</v>
      </c>
      <c r="F576" t="n">
        <v>38.92</v>
      </c>
      <c r="G576" t="n">
        <v>-2.43</v>
      </c>
      <c r="H576" t="n">
        <v>60</v>
      </c>
      <c r="I576" t="n">
        <v>85</v>
      </c>
      <c r="J576" t="n">
        <v>100</v>
      </c>
      <c r="K576" t="b">
        <v>0</v>
      </c>
      <c r="L576" t="b">
        <v>0</v>
      </c>
      <c r="M576" t="inlineStr">
        <is>
          <t>HIGH CONVICTION</t>
        </is>
      </c>
    </row>
    <row r="577">
      <c r="A577" t="inlineStr">
        <is>
          <t>PTON</t>
        </is>
      </c>
      <c r="B577" t="inlineStr">
        <is>
          <t>2026-07-30</t>
        </is>
      </c>
      <c r="C577" t="n">
        <v>6.39</v>
      </c>
      <c r="D577" t="n">
        <v>61.51</v>
      </c>
      <c r="E577" t="n">
        <v>0.36</v>
      </c>
      <c r="F577" t="n">
        <v>17.34</v>
      </c>
      <c r="G577" t="n">
        <v>-28.94</v>
      </c>
      <c r="H577" t="n">
        <v>60</v>
      </c>
      <c r="I577" t="n">
        <v>70</v>
      </c>
      <c r="J577" t="n">
        <v>70</v>
      </c>
      <c r="K577" t="b">
        <v>0</v>
      </c>
      <c r="L577" t="b">
        <v>0</v>
      </c>
      <c r="M577" t="inlineStr">
        <is>
          <t>AVOID</t>
        </is>
      </c>
    </row>
    <row r="578">
      <c r="A578" t="inlineStr">
        <is>
          <t>PUBM</t>
        </is>
      </c>
      <c r="B578" t="inlineStr">
        <is>
          <t>2026-07-30</t>
        </is>
      </c>
      <c r="C578" t="n">
        <v>12.73</v>
      </c>
      <c r="D578" t="n">
        <v>38.74</v>
      </c>
      <c r="E578" t="n">
        <v>0.38</v>
      </c>
      <c r="F578" t="n">
        <v>30.16</v>
      </c>
      <c r="G578" t="n">
        <v>-7.95</v>
      </c>
      <c r="H578" t="n">
        <v>45</v>
      </c>
      <c r="I578" t="n">
        <v>45</v>
      </c>
      <c r="J578" t="n">
        <v>85</v>
      </c>
      <c r="K578" t="b">
        <v>0</v>
      </c>
      <c r="L578" t="b">
        <v>0</v>
      </c>
      <c r="M578" t="inlineStr">
        <is>
          <t>WATCH</t>
        </is>
      </c>
    </row>
    <row r="579">
      <c r="A579" t="inlineStr">
        <is>
          <t>PYPL</t>
        </is>
      </c>
      <c r="B579" t="inlineStr">
        <is>
          <t>2026-07-30</t>
        </is>
      </c>
      <c r="C579" t="n">
        <v>57.64</v>
      </c>
      <c r="D579" t="n">
        <v>84.47</v>
      </c>
      <c r="E579" t="n">
        <v>0.39</v>
      </c>
      <c r="F579" t="n">
        <v>15.34</v>
      </c>
      <c r="G579" t="n">
        <v>-23.63</v>
      </c>
      <c r="H579" t="n">
        <v>50</v>
      </c>
      <c r="I579" t="n">
        <v>45</v>
      </c>
      <c r="J579" t="n">
        <v>60</v>
      </c>
      <c r="K579" t="b">
        <v>0</v>
      </c>
      <c r="L579" t="b">
        <v>0</v>
      </c>
      <c r="M579" t="inlineStr">
        <is>
          <t>AVOID</t>
        </is>
      </c>
    </row>
    <row r="580">
      <c r="A580" t="inlineStr">
        <is>
          <t>PZZA</t>
        </is>
      </c>
      <c r="B580" t="inlineStr">
        <is>
          <t>2026-07-30</t>
        </is>
      </c>
      <c r="C580" t="n">
        <v>30.75</v>
      </c>
      <c r="D580" t="n">
        <v>34.29</v>
      </c>
      <c r="E580" t="n">
        <v>0.77</v>
      </c>
      <c r="F580" t="n">
        <v>-13.89</v>
      </c>
      <c r="G580" t="n">
        <v>-42.25</v>
      </c>
      <c r="H580" t="n">
        <v>0</v>
      </c>
      <c r="I580" t="n">
        <v>0</v>
      </c>
      <c r="J580" t="n">
        <v>0</v>
      </c>
      <c r="K580" t="b">
        <v>0</v>
      </c>
      <c r="L580" t="b">
        <v>0</v>
      </c>
      <c r="M580" t="inlineStr">
        <is>
          <t>AVOID</t>
        </is>
      </c>
    </row>
    <row r="581">
      <c r="A581" t="inlineStr">
        <is>
          <t>QCOM</t>
        </is>
      </c>
      <c r="B581" t="inlineStr">
        <is>
          <t>2026-07-30</t>
        </is>
      </c>
      <c r="C581" t="n">
        <v>151.91</v>
      </c>
      <c r="D581" t="n">
        <v>16.95</v>
      </c>
      <c r="E581" t="n">
        <v>1.26</v>
      </c>
      <c r="F581" t="n">
        <v>-15.1</v>
      </c>
      <c r="G581" t="n">
        <v>-39.26</v>
      </c>
      <c r="H581" t="n">
        <v>10</v>
      </c>
      <c r="I581" t="n">
        <v>15</v>
      </c>
      <c r="J581" t="n">
        <v>20</v>
      </c>
      <c r="K581" t="b">
        <v>0</v>
      </c>
      <c r="L581" t="b">
        <v>0</v>
      </c>
      <c r="M581" t="inlineStr">
        <is>
          <t>AVOID</t>
        </is>
      </c>
    </row>
    <row r="582">
      <c r="A582" t="inlineStr">
        <is>
          <t>QDEL</t>
        </is>
      </c>
      <c r="B582" t="inlineStr">
        <is>
          <t>2026-07-30</t>
        </is>
      </c>
      <c r="C582" t="n">
        <v>16.51</v>
      </c>
      <c r="D582" t="n">
        <v>32.4</v>
      </c>
      <c r="E582" t="n">
        <v>0.47</v>
      </c>
      <c r="F582" t="n">
        <v>34.23</v>
      </c>
      <c r="G582" t="n">
        <v>-53.34</v>
      </c>
      <c r="H582" t="n">
        <v>20</v>
      </c>
      <c r="I582" t="n">
        <v>20</v>
      </c>
      <c r="J582" t="n">
        <v>50</v>
      </c>
      <c r="K582" t="b">
        <v>0</v>
      </c>
      <c r="L582" t="b">
        <v>0</v>
      </c>
      <c r="M582" t="inlineStr">
        <is>
          <t>AVOID</t>
        </is>
      </c>
    </row>
    <row r="583">
      <c r="A583" t="inlineStr">
        <is>
          <t>QFIN</t>
        </is>
      </c>
      <c r="B583" t="inlineStr">
        <is>
          <t>2026-07-30</t>
        </is>
      </c>
      <c r="C583" t="n">
        <v>13.85</v>
      </c>
      <c r="D583" t="n">
        <v>60.45</v>
      </c>
      <c r="E583" t="n">
        <v>0.38</v>
      </c>
      <c r="F583" t="n">
        <v>5.85</v>
      </c>
      <c r="G583" t="n">
        <v>-56.77</v>
      </c>
      <c r="H583" t="n">
        <v>15</v>
      </c>
      <c r="I583" t="n">
        <v>40</v>
      </c>
      <c r="J583" t="n">
        <v>15</v>
      </c>
      <c r="K583" t="b">
        <v>0</v>
      </c>
      <c r="L583" t="b">
        <v>0</v>
      </c>
      <c r="M583" t="inlineStr">
        <is>
          <t>AVOID</t>
        </is>
      </c>
    </row>
    <row r="584">
      <c r="A584" t="inlineStr">
        <is>
          <t>QGEN</t>
        </is>
      </c>
      <c r="B584" t="inlineStr">
        <is>
          <t>2026-07-30</t>
        </is>
      </c>
      <c r="C584" t="n">
        <v>41.47</v>
      </c>
      <c r="D584" t="n">
        <v>49.56</v>
      </c>
      <c r="E584" t="n">
        <v>0.5</v>
      </c>
      <c r="F584" t="n">
        <v>20.99</v>
      </c>
      <c r="G584" t="n">
        <v>-24.83</v>
      </c>
      <c r="H584" t="n">
        <v>30</v>
      </c>
      <c r="I584" t="n">
        <v>60</v>
      </c>
      <c r="J584" t="n">
        <v>50</v>
      </c>
      <c r="K584" t="b">
        <v>0</v>
      </c>
      <c r="L584" t="b">
        <v>0</v>
      </c>
      <c r="M584" t="inlineStr">
        <is>
          <t>AVOID</t>
        </is>
      </c>
    </row>
    <row r="585">
      <c r="A585" t="inlineStr">
        <is>
          <t>QLYS</t>
        </is>
      </c>
      <c r="B585" t="inlineStr">
        <is>
          <t>2026-07-30</t>
        </is>
      </c>
      <c r="C585" t="n">
        <v>140.9</v>
      </c>
      <c r="D585" t="n">
        <v>40.43</v>
      </c>
      <c r="E585" t="n">
        <v>0.91</v>
      </c>
      <c r="F585" t="n">
        <v>62.08</v>
      </c>
      <c r="G585" t="n">
        <v>-14.15</v>
      </c>
      <c r="H585" t="n">
        <v>45</v>
      </c>
      <c r="I585" t="n">
        <v>45</v>
      </c>
      <c r="J585" t="n">
        <v>85</v>
      </c>
      <c r="K585" t="b">
        <v>0</v>
      </c>
      <c r="L585" t="b">
        <v>0</v>
      </c>
      <c r="M585" t="inlineStr">
        <is>
          <t>WATCH</t>
        </is>
      </c>
    </row>
    <row r="586">
      <c r="A586" t="inlineStr">
        <is>
          <t>QNST</t>
        </is>
      </c>
      <c r="B586" t="inlineStr">
        <is>
          <t>2026-07-30</t>
        </is>
      </c>
      <c r="C586" t="n">
        <v>15.61</v>
      </c>
      <c r="D586" t="n">
        <v>40.2</v>
      </c>
      <c r="E586" t="n">
        <v>0.39</v>
      </c>
      <c r="F586" t="n">
        <v>22.34</v>
      </c>
      <c r="G586" t="n">
        <v>-11.91</v>
      </c>
      <c r="H586" t="n">
        <v>45</v>
      </c>
      <c r="I586" t="n">
        <v>45</v>
      </c>
      <c r="J586" t="n">
        <v>65</v>
      </c>
      <c r="K586" t="b">
        <v>0</v>
      </c>
      <c r="L586" t="b">
        <v>0</v>
      </c>
      <c r="M586" t="inlineStr">
        <is>
          <t>AVOID</t>
        </is>
      </c>
    </row>
    <row r="587">
      <c r="A587" t="inlineStr">
        <is>
          <t>QRVO</t>
        </is>
      </c>
      <c r="B587" t="inlineStr">
        <is>
          <t>2026-07-30</t>
        </is>
      </c>
      <c r="C587" t="n">
        <v>89.95999999999999</v>
      </c>
      <c r="D587" t="n">
        <v>59.78</v>
      </c>
      <c r="E587" t="n">
        <v>0.5</v>
      </c>
      <c r="F587" t="n">
        <v>-4.52</v>
      </c>
      <c r="G587" t="n">
        <v>-16.88</v>
      </c>
      <c r="H587" t="n">
        <v>40</v>
      </c>
      <c r="I587" t="n">
        <v>50</v>
      </c>
      <c r="J587" t="n">
        <v>40</v>
      </c>
      <c r="K587" t="b">
        <v>0</v>
      </c>
      <c r="L587" t="b">
        <v>0</v>
      </c>
      <c r="M587" t="inlineStr">
        <is>
          <t>AVOID</t>
        </is>
      </c>
    </row>
    <row r="588">
      <c r="A588" t="inlineStr">
        <is>
          <t>QTRX</t>
        </is>
      </c>
      <c r="B588" t="inlineStr">
        <is>
          <t>2026-07-30</t>
        </is>
      </c>
      <c r="C588" t="n">
        <v>3.53</v>
      </c>
      <c r="D588" t="n">
        <v>39.94</v>
      </c>
      <c r="E588" t="n">
        <v>0.63</v>
      </c>
      <c r="F588" t="n">
        <v>12.78</v>
      </c>
      <c r="G588" t="n">
        <v>-56.2</v>
      </c>
      <c r="H588" t="n">
        <v>10</v>
      </c>
      <c r="I588" t="n">
        <v>0</v>
      </c>
      <c r="J588" t="n">
        <v>20</v>
      </c>
      <c r="K588" t="b">
        <v>0</v>
      </c>
      <c r="L588" t="b">
        <v>0</v>
      </c>
      <c r="M588" t="inlineStr">
        <is>
          <t>AVOID</t>
        </is>
      </c>
    </row>
    <row r="589">
      <c r="A589" t="inlineStr">
        <is>
          <t>QURE</t>
        </is>
      </c>
      <c r="B589" t="inlineStr">
        <is>
          <t>2026-07-30</t>
        </is>
      </c>
      <c r="C589" t="n">
        <v>40.84</v>
      </c>
      <c r="D589" t="n">
        <v>43.67</v>
      </c>
      <c r="E589" t="n">
        <v>0.74</v>
      </c>
      <c r="F589" t="n">
        <v>104.71</v>
      </c>
      <c r="G589" t="n">
        <v>-42.14</v>
      </c>
      <c r="H589" t="n">
        <v>55</v>
      </c>
      <c r="I589" t="n">
        <v>60</v>
      </c>
      <c r="J589" t="n">
        <v>95</v>
      </c>
      <c r="K589" t="b">
        <v>0</v>
      </c>
      <c r="L589" t="b">
        <v>0</v>
      </c>
      <c r="M589" t="inlineStr">
        <is>
          <t>HIGH CONVICTION</t>
        </is>
      </c>
    </row>
    <row r="590">
      <c r="A590" t="inlineStr">
        <is>
          <t>RARE</t>
        </is>
      </c>
      <c r="B590" t="inlineStr">
        <is>
          <t>2026-07-30</t>
        </is>
      </c>
      <c r="C590" t="n">
        <v>25.61</v>
      </c>
      <c r="D590" t="n">
        <v>7.28</v>
      </c>
      <c r="E590" t="n">
        <v>0.53</v>
      </c>
      <c r="F590" t="n">
        <v>3.73</v>
      </c>
      <c r="G590" t="n">
        <v>-29.91</v>
      </c>
      <c r="H590" t="n">
        <v>20</v>
      </c>
      <c r="I590" t="n">
        <v>0</v>
      </c>
      <c r="J590" t="n">
        <v>20</v>
      </c>
      <c r="K590" t="b">
        <v>0</v>
      </c>
      <c r="L590" t="b">
        <v>0</v>
      </c>
      <c r="M590" t="inlineStr">
        <is>
          <t>AVOID</t>
        </is>
      </c>
    </row>
    <row r="591">
      <c r="A591" t="inlineStr">
        <is>
          <t>RCKT</t>
        </is>
      </c>
      <c r="B591" t="inlineStr">
        <is>
          <t>2026-07-30</t>
        </is>
      </c>
      <c r="C591" t="n">
        <v>3.19</v>
      </c>
      <c r="D591" t="n">
        <v>15.12</v>
      </c>
      <c r="E591" t="n">
        <v>0.41</v>
      </c>
      <c r="F591" t="n">
        <v>-8.19</v>
      </c>
      <c r="G591" t="n">
        <v>-39.72</v>
      </c>
      <c r="H591" t="n">
        <v>10</v>
      </c>
      <c r="I591" t="n">
        <v>0</v>
      </c>
      <c r="J591" t="n">
        <v>10</v>
      </c>
      <c r="K591" t="b">
        <v>0</v>
      </c>
      <c r="L591" t="b">
        <v>0</v>
      </c>
      <c r="M591" t="inlineStr">
        <is>
          <t>AVOID</t>
        </is>
      </c>
    </row>
    <row r="592">
      <c r="A592" t="inlineStr">
        <is>
          <t>RDNT</t>
        </is>
      </c>
      <c r="B592" t="inlineStr">
        <is>
          <t>2026-07-30</t>
        </is>
      </c>
      <c r="C592" t="n">
        <v>63.49</v>
      </c>
      <c r="D592" t="n">
        <v>43.55</v>
      </c>
      <c r="E592" t="n">
        <v>0.38</v>
      </c>
      <c r="F592" t="n">
        <v>12.28</v>
      </c>
      <c r="G592" t="n">
        <v>-24.84</v>
      </c>
      <c r="H592" t="n">
        <v>20</v>
      </c>
      <c r="I592" t="n">
        <v>35</v>
      </c>
      <c r="J592" t="n">
        <v>30</v>
      </c>
      <c r="K592" t="b">
        <v>0</v>
      </c>
      <c r="L592" t="b">
        <v>0</v>
      </c>
      <c r="M592" t="inlineStr">
        <is>
          <t>AVOID</t>
        </is>
      </c>
    </row>
    <row r="593">
      <c r="A593" t="inlineStr">
        <is>
          <t>REAL</t>
        </is>
      </c>
      <c r="B593" t="inlineStr">
        <is>
          <t>2026-07-30</t>
        </is>
      </c>
      <c r="C593" t="n">
        <v>12.12</v>
      </c>
      <c r="D593" t="n">
        <v>69.23</v>
      </c>
      <c r="E593" t="n">
        <v>0.37</v>
      </c>
      <c r="F593" t="n">
        <v>1.98</v>
      </c>
      <c r="G593" t="n">
        <v>-28.25</v>
      </c>
      <c r="H593" t="n">
        <v>50</v>
      </c>
      <c r="I593" t="n">
        <v>45</v>
      </c>
      <c r="J593" t="n">
        <v>50</v>
      </c>
      <c r="K593" t="b">
        <v>0</v>
      </c>
      <c r="L593" t="b">
        <v>0</v>
      </c>
      <c r="M593" t="inlineStr">
        <is>
          <t>AVOID</t>
        </is>
      </c>
    </row>
    <row r="594">
      <c r="A594" t="inlineStr">
        <is>
          <t>REG</t>
        </is>
      </c>
      <c r="B594" t="inlineStr">
        <is>
          <t>2026-07-30</t>
        </is>
      </c>
      <c r="C594" t="n">
        <v>80.23999999999999</v>
      </c>
      <c r="D594" t="n">
        <v>53.43</v>
      </c>
      <c r="E594" t="n">
        <v>0.7</v>
      </c>
      <c r="F594" t="n">
        <v>4.04</v>
      </c>
      <c r="G594" t="n">
        <v>-2.95</v>
      </c>
      <c r="H594" t="n">
        <v>50</v>
      </c>
      <c r="I594" t="n">
        <v>85</v>
      </c>
      <c r="J594" t="n">
        <v>70</v>
      </c>
      <c r="K594" t="b">
        <v>0</v>
      </c>
      <c r="L594" t="b">
        <v>0</v>
      </c>
      <c r="M594" t="inlineStr">
        <is>
          <t>AVOID</t>
        </is>
      </c>
    </row>
    <row r="595">
      <c r="A595" t="inlineStr">
        <is>
          <t>REGN</t>
        </is>
      </c>
      <c r="B595" t="inlineStr">
        <is>
          <t>2026-07-30</t>
        </is>
      </c>
      <c r="C595" t="n">
        <v>733.65</v>
      </c>
      <c r="D595" t="n">
        <v>73.43000000000001</v>
      </c>
      <c r="E595" t="n">
        <v>1.21</v>
      </c>
      <c r="F595" t="n">
        <v>3.92</v>
      </c>
      <c r="G595" t="n">
        <v>-9.44</v>
      </c>
      <c r="H595" t="n">
        <v>50</v>
      </c>
      <c r="I595" t="n">
        <v>60</v>
      </c>
      <c r="J595" t="n">
        <v>70</v>
      </c>
      <c r="K595" t="b">
        <v>0</v>
      </c>
      <c r="L595" t="b">
        <v>0</v>
      </c>
      <c r="M595" t="inlineStr">
        <is>
          <t>AVOID</t>
        </is>
      </c>
    </row>
    <row r="596">
      <c r="A596" t="inlineStr">
        <is>
          <t>REKR</t>
        </is>
      </c>
      <c r="B596" t="inlineStr">
        <is>
          <t>2026-07-30</t>
        </is>
      </c>
      <c r="C596" t="n">
        <v>0.63</v>
      </c>
      <c r="D596" t="n">
        <v>40.89</v>
      </c>
      <c r="E596" t="n">
        <v>0.29</v>
      </c>
      <c r="F596" t="n">
        <v>-23.48</v>
      </c>
      <c r="G596" t="n">
        <v>-80.39</v>
      </c>
      <c r="H596" t="n">
        <v>0</v>
      </c>
      <c r="I596" t="n">
        <v>15</v>
      </c>
      <c r="J596" t="n">
        <v>0</v>
      </c>
      <c r="K596" t="b">
        <v>0</v>
      </c>
      <c r="L596" t="b">
        <v>0</v>
      </c>
      <c r="M596" t="inlineStr">
        <is>
          <t>AVOID</t>
        </is>
      </c>
    </row>
    <row r="597">
      <c r="A597" t="inlineStr">
        <is>
          <t>REPL</t>
        </is>
      </c>
      <c r="B597" t="inlineStr">
        <is>
          <t>2026-07-30</t>
        </is>
      </c>
      <c r="C597" t="n">
        <v>5.41</v>
      </c>
      <c r="D597" t="n">
        <v>17.54</v>
      </c>
      <c r="E597" t="n">
        <v>2.96</v>
      </c>
      <c r="F597" t="n">
        <v>127.31</v>
      </c>
      <c r="G597" t="n">
        <v>-53.48</v>
      </c>
      <c r="H597" t="n">
        <v>20</v>
      </c>
      <c r="I597" t="n">
        <v>15</v>
      </c>
      <c r="J597" t="n">
        <v>90</v>
      </c>
      <c r="K597" t="b">
        <v>0</v>
      </c>
      <c r="L597" t="b">
        <v>0</v>
      </c>
      <c r="M597" t="inlineStr">
        <is>
          <t>WATCH</t>
        </is>
      </c>
    </row>
    <row r="598">
      <c r="A598" t="inlineStr">
        <is>
          <t>REYN</t>
        </is>
      </c>
      <c r="B598" t="inlineStr">
        <is>
          <t>2026-07-30</t>
        </is>
      </c>
      <c r="C598" t="n">
        <v>25.41</v>
      </c>
      <c r="D598" t="n">
        <v>36.67</v>
      </c>
      <c r="E598" t="n">
        <v>0.68</v>
      </c>
      <c r="F598" t="n">
        <v>22.45</v>
      </c>
      <c r="G598" t="n">
        <v>-6.53</v>
      </c>
      <c r="H598" t="n">
        <v>45</v>
      </c>
      <c r="I598" t="n">
        <v>60</v>
      </c>
      <c r="J598" t="n">
        <v>75</v>
      </c>
      <c r="K598" t="b">
        <v>0</v>
      </c>
      <c r="L598" t="b">
        <v>0</v>
      </c>
      <c r="M598" t="inlineStr">
        <is>
          <t>AVOID</t>
        </is>
      </c>
    </row>
    <row r="599">
      <c r="A599" t="inlineStr">
        <is>
          <t>RGEN</t>
        </is>
      </c>
      <c r="B599" t="inlineStr">
        <is>
          <t>2026-07-30</t>
        </is>
      </c>
      <c r="C599" t="n">
        <v>143.67</v>
      </c>
      <c r="D599" t="n">
        <v>49.42</v>
      </c>
      <c r="E599" t="n">
        <v>0.48</v>
      </c>
      <c r="F599" t="n">
        <v>21.44</v>
      </c>
      <c r="G599" t="n">
        <v>-16.6</v>
      </c>
      <c r="H599" t="n">
        <v>45</v>
      </c>
      <c r="I599" t="n">
        <v>85</v>
      </c>
      <c r="J599" t="n">
        <v>65</v>
      </c>
      <c r="K599" t="b">
        <v>0</v>
      </c>
      <c r="L599" t="b">
        <v>0</v>
      </c>
      <c r="M599" t="inlineStr">
        <is>
          <t>AVOID</t>
        </is>
      </c>
    </row>
    <row r="600">
      <c r="A600" t="inlineStr">
        <is>
          <t>RGLD</t>
        </is>
      </c>
      <c r="B600" t="inlineStr">
        <is>
          <t>2026-07-30</t>
        </is>
      </c>
      <c r="C600" t="n">
        <v>202.06</v>
      </c>
      <c r="D600" t="n">
        <v>56.78</v>
      </c>
      <c r="E600" t="n">
        <v>0.39</v>
      </c>
      <c r="F600" t="n">
        <v>-13.21</v>
      </c>
      <c r="G600" t="n">
        <v>-33.32</v>
      </c>
      <c r="H600" t="n">
        <v>15</v>
      </c>
      <c r="I600" t="n">
        <v>40</v>
      </c>
      <c r="J600" t="n">
        <v>15</v>
      </c>
      <c r="K600" t="b">
        <v>0</v>
      </c>
      <c r="L600" t="b">
        <v>0</v>
      </c>
      <c r="M600" t="inlineStr">
        <is>
          <t>AVOID</t>
        </is>
      </c>
    </row>
    <row r="601">
      <c r="A601" t="inlineStr">
        <is>
          <t>RGNX</t>
        </is>
      </c>
      <c r="B601" t="inlineStr">
        <is>
          <t>2026-07-30</t>
        </is>
      </c>
      <c r="C601" t="n">
        <v>9.83</v>
      </c>
      <c r="D601" t="n">
        <v>13.08</v>
      </c>
      <c r="E601" t="n">
        <v>0.31</v>
      </c>
      <c r="F601" t="n">
        <v>9.59</v>
      </c>
      <c r="G601" t="n">
        <v>-38.49</v>
      </c>
      <c r="H601" t="n">
        <v>20</v>
      </c>
      <c r="I601" t="n">
        <v>20</v>
      </c>
      <c r="J601" t="n">
        <v>20</v>
      </c>
      <c r="K601" t="b">
        <v>0</v>
      </c>
      <c r="L601" t="b">
        <v>0</v>
      </c>
      <c r="M601" t="inlineStr">
        <is>
          <t>AVOID</t>
        </is>
      </c>
    </row>
    <row r="602">
      <c r="A602" t="inlineStr">
        <is>
          <t>RGP</t>
        </is>
      </c>
      <c r="B602" t="inlineStr">
        <is>
          <t>2026-07-30</t>
        </is>
      </c>
      <c r="C602" t="n">
        <v>4.21</v>
      </c>
      <c r="D602" t="n">
        <v>37.8</v>
      </c>
      <c r="E602" t="n">
        <v>0.55</v>
      </c>
      <c r="F602" t="n">
        <v>0.88</v>
      </c>
      <c r="G602" t="n">
        <v>-19.15</v>
      </c>
      <c r="H602" t="n">
        <v>20</v>
      </c>
      <c r="I602" t="n">
        <v>0</v>
      </c>
      <c r="J602" t="n">
        <v>20</v>
      </c>
      <c r="K602" t="b">
        <v>0</v>
      </c>
      <c r="L602" t="b">
        <v>0</v>
      </c>
      <c r="M602" t="inlineStr">
        <is>
          <t>AVOID</t>
        </is>
      </c>
    </row>
    <row r="603">
      <c r="A603" t="inlineStr">
        <is>
          <t>RILY</t>
        </is>
      </c>
      <c r="B603" t="inlineStr">
        <is>
          <t>2026-07-30</t>
        </is>
      </c>
      <c r="C603" t="n">
        <v>7.1</v>
      </c>
      <c r="D603" t="n">
        <v>48.04</v>
      </c>
      <c r="E603" t="n">
        <v>0.91</v>
      </c>
      <c r="F603" t="n">
        <v>-17.35</v>
      </c>
      <c r="G603" t="n">
        <v>-33.52</v>
      </c>
      <c r="H603" t="n">
        <v>35</v>
      </c>
      <c r="I603" t="n">
        <v>65</v>
      </c>
      <c r="J603" t="n">
        <v>35</v>
      </c>
      <c r="K603" t="b">
        <v>0</v>
      </c>
      <c r="L603" t="b">
        <v>0</v>
      </c>
      <c r="M603" t="inlineStr">
        <is>
          <t>AVOID</t>
        </is>
      </c>
    </row>
    <row r="604">
      <c r="A604" t="inlineStr">
        <is>
          <t>RIOT</t>
        </is>
      </c>
      <c r="B604" t="inlineStr">
        <is>
          <t>2026-07-30</t>
        </is>
      </c>
      <c r="C604" t="n">
        <v>22.61</v>
      </c>
      <c r="D604" t="n">
        <v>54.51</v>
      </c>
      <c r="E604" t="n">
        <v>1</v>
      </c>
      <c r="F604" t="n">
        <v>31.18</v>
      </c>
      <c r="G604" t="n">
        <v>-21.17</v>
      </c>
      <c r="H604" t="n">
        <v>40</v>
      </c>
      <c r="I604" t="n">
        <v>65</v>
      </c>
      <c r="J604" t="n">
        <v>70</v>
      </c>
      <c r="K604" t="b">
        <v>0</v>
      </c>
      <c r="L604" t="b">
        <v>0</v>
      </c>
      <c r="M604" t="inlineStr">
        <is>
          <t>AVOID</t>
        </is>
      </c>
    </row>
    <row r="605">
      <c r="A605" t="inlineStr">
        <is>
          <t>RLAY</t>
        </is>
      </c>
      <c r="B605" t="inlineStr">
        <is>
          <t>2026-07-30</t>
        </is>
      </c>
      <c r="C605" t="n">
        <v>19.44</v>
      </c>
      <c r="D605" t="n">
        <v>45.4</v>
      </c>
      <c r="E605" t="n">
        <v>0.33</v>
      </c>
      <c r="F605" t="n">
        <v>50</v>
      </c>
      <c r="G605" t="n">
        <v>-6.31</v>
      </c>
      <c r="H605" t="n">
        <v>55</v>
      </c>
      <c r="I605" t="n">
        <v>85</v>
      </c>
      <c r="J605" t="n">
        <v>100</v>
      </c>
      <c r="K605" t="b">
        <v>0</v>
      </c>
      <c r="L605" t="b">
        <v>0</v>
      </c>
      <c r="M605" t="inlineStr">
        <is>
          <t>HIGH CONVICTION</t>
        </is>
      </c>
    </row>
    <row r="606">
      <c r="A606" t="inlineStr">
        <is>
          <t>RLMD</t>
        </is>
      </c>
      <c r="B606" t="inlineStr">
        <is>
          <t>2026-07-30</t>
        </is>
      </c>
      <c r="C606" t="n">
        <v>5.38</v>
      </c>
      <c r="D606" t="n">
        <v>30.73</v>
      </c>
      <c r="E606" t="n">
        <v>0.31</v>
      </c>
      <c r="F606" t="n">
        <v>-28.52</v>
      </c>
      <c r="G606" t="n">
        <v>-31.62</v>
      </c>
      <c r="H606" t="n">
        <v>25</v>
      </c>
      <c r="I606" t="n">
        <v>25</v>
      </c>
      <c r="J606" t="n">
        <v>25</v>
      </c>
      <c r="K606" t="b">
        <v>0</v>
      </c>
      <c r="L606" t="b">
        <v>0</v>
      </c>
      <c r="M606" t="inlineStr">
        <is>
          <t>AVOID</t>
        </is>
      </c>
    </row>
    <row r="607">
      <c r="A607" t="inlineStr">
        <is>
          <t>RMBS</t>
        </is>
      </c>
      <c r="B607" t="inlineStr">
        <is>
          <t>2026-07-30</t>
        </is>
      </c>
      <c r="C607" t="n">
        <v>89.5</v>
      </c>
      <c r="D607" t="n">
        <v>27.96</v>
      </c>
      <c r="E607" t="n">
        <v>0.6</v>
      </c>
      <c r="F607" t="n">
        <v>-22.24</v>
      </c>
      <c r="G607" t="n">
        <v>-47.55</v>
      </c>
      <c r="H607" t="n">
        <v>10</v>
      </c>
      <c r="I607" t="n">
        <v>0</v>
      </c>
      <c r="J607" t="n">
        <v>10</v>
      </c>
      <c r="K607" t="b">
        <v>0</v>
      </c>
      <c r="L607" t="b">
        <v>0</v>
      </c>
      <c r="M607" t="inlineStr">
        <is>
          <t>AVOID</t>
        </is>
      </c>
    </row>
    <row r="608">
      <c r="A608" t="inlineStr">
        <is>
          <t>RNST</t>
        </is>
      </c>
      <c r="B608" t="inlineStr">
        <is>
          <t>2026-07-30</t>
        </is>
      </c>
      <c r="C608" t="n">
        <v>43.56</v>
      </c>
      <c r="D608" t="n">
        <v>60.04</v>
      </c>
      <c r="E608" t="n">
        <v>0.62</v>
      </c>
      <c r="F608" t="n">
        <v>9.83</v>
      </c>
      <c r="G608" t="n">
        <v>-1.56</v>
      </c>
      <c r="H608" t="n">
        <v>60</v>
      </c>
      <c r="I608" t="n">
        <v>85</v>
      </c>
      <c r="J608" t="n">
        <v>90</v>
      </c>
      <c r="K608" t="b">
        <v>0</v>
      </c>
      <c r="L608" t="b">
        <v>0</v>
      </c>
      <c r="M608" t="inlineStr">
        <is>
          <t>WATCH</t>
        </is>
      </c>
    </row>
    <row r="609">
      <c r="A609" t="inlineStr">
        <is>
          <t>ROAD</t>
        </is>
      </c>
      <c r="B609" t="inlineStr">
        <is>
          <t>2026-07-30</t>
        </is>
      </c>
      <c r="C609" t="n">
        <v>102.51</v>
      </c>
      <c r="D609" t="n">
        <v>63.86</v>
      </c>
      <c r="E609" t="n">
        <v>0.32</v>
      </c>
      <c r="F609" t="n">
        <v>-17.1</v>
      </c>
      <c r="G609" t="n">
        <v>-27.03</v>
      </c>
      <c r="H609" t="n">
        <v>15</v>
      </c>
      <c r="I609" t="n">
        <v>40</v>
      </c>
      <c r="J609" t="n">
        <v>15</v>
      </c>
      <c r="K609" t="b">
        <v>0</v>
      </c>
      <c r="L609" t="b">
        <v>0</v>
      </c>
      <c r="M609" t="inlineStr">
        <is>
          <t>AVOID</t>
        </is>
      </c>
    </row>
    <row r="610">
      <c r="A610" t="inlineStr">
        <is>
          <t>ROKU</t>
        </is>
      </c>
      <c r="B610" t="inlineStr">
        <is>
          <t>2026-07-30</t>
        </is>
      </c>
      <c r="C610" t="n">
        <v>145.32</v>
      </c>
      <c r="D610" t="n">
        <v>69.94</v>
      </c>
      <c r="E610" t="n">
        <v>0.33</v>
      </c>
      <c r="F610" t="n">
        <v>24.67</v>
      </c>
      <c r="G610" t="n">
        <v>-0.01</v>
      </c>
      <c r="H610" t="n">
        <v>60</v>
      </c>
      <c r="I610" t="n">
        <v>60</v>
      </c>
      <c r="J610" t="n">
        <v>100</v>
      </c>
      <c r="K610" t="b">
        <v>0</v>
      </c>
      <c r="L610" t="b">
        <v>0</v>
      </c>
      <c r="M610" t="inlineStr">
        <is>
          <t>HIGH CONVICTION</t>
        </is>
      </c>
    </row>
    <row r="611">
      <c r="A611" t="inlineStr">
        <is>
          <t>ROST</t>
        </is>
      </c>
      <c r="B611" t="inlineStr">
        <is>
          <t>2026-07-30</t>
        </is>
      </c>
      <c r="C611" t="n">
        <v>252.04</v>
      </c>
      <c r="D611" t="n">
        <v>80.61</v>
      </c>
      <c r="E611" t="n">
        <v>0.46</v>
      </c>
      <c r="F611" t="n">
        <v>10.86</v>
      </c>
      <c r="G611" t="n">
        <v>0</v>
      </c>
      <c r="H611" t="n">
        <v>60</v>
      </c>
      <c r="I611" t="n">
        <v>45</v>
      </c>
      <c r="J611" t="n">
        <v>100</v>
      </c>
      <c r="K611" t="b">
        <v>0</v>
      </c>
      <c r="L611" t="b">
        <v>0</v>
      </c>
      <c r="M611" t="inlineStr">
        <is>
          <t>HIGH CONVICTION</t>
        </is>
      </c>
    </row>
    <row r="612">
      <c r="A612" t="inlineStr">
        <is>
          <t>RPAY</t>
        </is>
      </c>
      <c r="B612" t="inlineStr">
        <is>
          <t>2026-07-30</t>
        </is>
      </c>
      <c r="C612" t="n">
        <v>3.97</v>
      </c>
      <c r="D612" t="n">
        <v>46.81</v>
      </c>
      <c r="E612" t="n">
        <v>1.65</v>
      </c>
      <c r="F612" t="n">
        <v>4.88</v>
      </c>
      <c r="G612" t="n">
        <v>-33.31</v>
      </c>
      <c r="H612" t="n">
        <v>55</v>
      </c>
      <c r="I612" t="n">
        <v>100</v>
      </c>
      <c r="J612" t="n">
        <v>75</v>
      </c>
      <c r="K612" t="b">
        <v>0</v>
      </c>
      <c r="L612" t="b">
        <v>0</v>
      </c>
      <c r="M612" t="inlineStr">
        <is>
          <t>AVOID</t>
        </is>
      </c>
    </row>
    <row r="613">
      <c r="A613" t="inlineStr">
        <is>
          <t>RPD</t>
        </is>
      </c>
      <c r="B613" t="inlineStr">
        <is>
          <t>2026-07-30</t>
        </is>
      </c>
      <c r="C613" t="n">
        <v>9.4</v>
      </c>
      <c r="D613" t="n">
        <v>34.56</v>
      </c>
      <c r="E613" t="n">
        <v>0.51</v>
      </c>
      <c r="F613" t="n">
        <v>59.41</v>
      </c>
      <c r="G613" t="n">
        <v>-56.6</v>
      </c>
      <c r="H613" t="n">
        <v>20</v>
      </c>
      <c r="I613" t="n">
        <v>20</v>
      </c>
      <c r="J613" t="n">
        <v>60</v>
      </c>
      <c r="K613" t="b">
        <v>0</v>
      </c>
      <c r="L613" t="b">
        <v>0</v>
      </c>
      <c r="M613" t="inlineStr">
        <is>
          <t>AVOID</t>
        </is>
      </c>
    </row>
    <row r="614">
      <c r="A614" t="inlineStr">
        <is>
          <t>RPRX</t>
        </is>
      </c>
      <c r="B614" t="inlineStr">
        <is>
          <t>2026-07-30</t>
        </is>
      </c>
      <c r="C614" t="n">
        <v>59.34</v>
      </c>
      <c r="D614" t="n">
        <v>65.98999999999999</v>
      </c>
      <c r="E614" t="n">
        <v>0.59</v>
      </c>
      <c r="F614" t="n">
        <v>18.99</v>
      </c>
      <c r="G614" t="n">
        <v>-1.05</v>
      </c>
      <c r="H614" t="n">
        <v>60</v>
      </c>
      <c r="I614" t="n">
        <v>60</v>
      </c>
      <c r="J614" t="n">
        <v>100</v>
      </c>
      <c r="K614" t="b">
        <v>0</v>
      </c>
      <c r="L614" t="b">
        <v>0</v>
      </c>
      <c r="M614" t="inlineStr">
        <is>
          <t>HIGH CONVICTION</t>
        </is>
      </c>
    </row>
    <row r="615">
      <c r="A615" t="inlineStr">
        <is>
          <t>RRR</t>
        </is>
      </c>
      <c r="B615" t="inlineStr">
        <is>
          <t>2026-07-30</t>
        </is>
      </c>
      <c r="C615" t="n">
        <v>64.79000000000001</v>
      </c>
      <c r="D615" t="n">
        <v>52.35</v>
      </c>
      <c r="E615" t="n">
        <v>0.57</v>
      </c>
      <c r="F615" t="n">
        <v>20.57</v>
      </c>
      <c r="G615" t="n">
        <v>-3.67</v>
      </c>
      <c r="H615" t="n">
        <v>60</v>
      </c>
      <c r="I615" t="n">
        <v>85</v>
      </c>
      <c r="J615" t="n">
        <v>100</v>
      </c>
      <c r="K615" t="b">
        <v>0</v>
      </c>
      <c r="L615" t="b">
        <v>0</v>
      </c>
      <c r="M615" t="inlineStr">
        <is>
          <t>HIGH CONVICTION</t>
        </is>
      </c>
    </row>
    <row r="616">
      <c r="A616" t="inlineStr">
        <is>
          <t>RUN</t>
        </is>
      </c>
      <c r="B616" t="inlineStr">
        <is>
          <t>2026-07-30</t>
        </is>
      </c>
      <c r="C616" t="n">
        <v>9.550000000000001</v>
      </c>
      <c r="D616" t="n">
        <v>12.45</v>
      </c>
      <c r="E616" t="n">
        <v>0.47</v>
      </c>
      <c r="F616" t="n">
        <v>-25.02</v>
      </c>
      <c r="G616" t="n">
        <v>-55.42</v>
      </c>
      <c r="H616" t="n">
        <v>0</v>
      </c>
      <c r="I616" t="n">
        <v>0</v>
      </c>
      <c r="J616" t="n">
        <v>0</v>
      </c>
      <c r="K616" t="b">
        <v>0</v>
      </c>
      <c r="L616" t="b">
        <v>0</v>
      </c>
      <c r="M616" t="inlineStr">
        <is>
          <t>AVOID</t>
        </is>
      </c>
    </row>
    <row r="617">
      <c r="A617" t="inlineStr">
        <is>
          <t>RUSHA</t>
        </is>
      </c>
      <c r="B617" t="inlineStr">
        <is>
          <t>2026-07-30</t>
        </is>
      </c>
      <c r="C617" t="n">
        <v>79.47</v>
      </c>
      <c r="D617" t="n">
        <v>60.93</v>
      </c>
      <c r="E617" t="n">
        <v>1.22</v>
      </c>
      <c r="F617" t="n">
        <v>7.63</v>
      </c>
      <c r="G617" t="n">
        <v>-2.63</v>
      </c>
      <c r="H617" t="n">
        <v>60</v>
      </c>
      <c r="I617" t="n">
        <v>85</v>
      </c>
      <c r="J617" t="n">
        <v>90</v>
      </c>
      <c r="K617" t="b">
        <v>0</v>
      </c>
      <c r="L617" t="b">
        <v>0</v>
      </c>
      <c r="M617" t="inlineStr">
        <is>
          <t>WATCH</t>
        </is>
      </c>
    </row>
    <row r="618">
      <c r="A618" t="inlineStr">
        <is>
          <t>RVMD</t>
        </is>
      </c>
      <c r="B618" t="inlineStr">
        <is>
          <t>2026-07-30</t>
        </is>
      </c>
      <c r="C618" t="n">
        <v>190.15</v>
      </c>
      <c r="D618" t="n">
        <v>53.32</v>
      </c>
      <c r="E618" t="n">
        <v>0.63</v>
      </c>
      <c r="F618" t="n">
        <v>31.94</v>
      </c>
      <c r="G618" t="n">
        <v>-1.28</v>
      </c>
      <c r="H618" t="n">
        <v>60</v>
      </c>
      <c r="I618" t="n">
        <v>85</v>
      </c>
      <c r="J618" t="n">
        <v>100</v>
      </c>
      <c r="K618" t="b">
        <v>0</v>
      </c>
      <c r="L618" t="b">
        <v>0</v>
      </c>
      <c r="M618" t="inlineStr">
        <is>
          <t>HIGH CONVICTION</t>
        </is>
      </c>
    </row>
    <row r="619">
      <c r="A619" t="inlineStr">
        <is>
          <t>RXT</t>
        </is>
      </c>
      <c r="B619" t="inlineStr">
        <is>
          <t>2026-07-30</t>
        </is>
      </c>
      <c r="C619" t="n">
        <v>4.14</v>
      </c>
      <c r="D619" t="n">
        <v>27.31</v>
      </c>
      <c r="E619" t="n">
        <v>0.3</v>
      </c>
      <c r="F619" t="n">
        <v>183.22</v>
      </c>
      <c r="G619" t="n">
        <v>-45.09</v>
      </c>
      <c r="H619" t="n">
        <v>25</v>
      </c>
      <c r="I619" t="n">
        <v>25</v>
      </c>
      <c r="J619" t="n">
        <v>65</v>
      </c>
      <c r="K619" t="b">
        <v>0</v>
      </c>
      <c r="L619" t="b">
        <v>0</v>
      </c>
      <c r="M619" t="inlineStr">
        <is>
          <t>AVOID</t>
        </is>
      </c>
    </row>
    <row r="620">
      <c r="A620" t="inlineStr">
        <is>
          <t>RYAAY</t>
        </is>
      </c>
      <c r="B620" t="inlineStr">
        <is>
          <t>2026-07-30</t>
        </is>
      </c>
      <c r="C620" t="n">
        <v>59.97</v>
      </c>
      <c r="D620" t="n">
        <v>39.02</v>
      </c>
      <c r="E620" t="n">
        <v>0.46</v>
      </c>
      <c r="F620" t="n">
        <v>9.74</v>
      </c>
      <c r="G620" t="n">
        <v>-18.22</v>
      </c>
      <c r="H620" t="n">
        <v>10</v>
      </c>
      <c r="I620" t="n">
        <v>0</v>
      </c>
      <c r="J620" t="n">
        <v>10</v>
      </c>
      <c r="K620" t="b">
        <v>0</v>
      </c>
      <c r="L620" t="b">
        <v>0</v>
      </c>
      <c r="M620" t="inlineStr">
        <is>
          <t>AVOID</t>
        </is>
      </c>
    </row>
    <row r="621">
      <c r="A621" t="inlineStr">
        <is>
          <t>RYTM</t>
        </is>
      </c>
      <c r="B621" t="inlineStr">
        <is>
          <t>2026-07-30</t>
        </is>
      </c>
      <c r="C621" t="n">
        <v>105.71</v>
      </c>
      <c r="D621" t="n">
        <v>44.52</v>
      </c>
      <c r="E621" t="n">
        <v>0.31</v>
      </c>
      <c r="F621" t="n">
        <v>29.93</v>
      </c>
      <c r="G621" t="n">
        <v>-10.13</v>
      </c>
      <c r="H621" t="n">
        <v>45</v>
      </c>
      <c r="I621" t="n">
        <v>60</v>
      </c>
      <c r="J621" t="n">
        <v>65</v>
      </c>
      <c r="K621" t="b">
        <v>0</v>
      </c>
      <c r="L621" t="b">
        <v>0</v>
      </c>
      <c r="M621" t="inlineStr">
        <is>
          <t>AVOID</t>
        </is>
      </c>
    </row>
    <row r="622">
      <c r="A622" t="inlineStr">
        <is>
          <t>SABR</t>
        </is>
      </c>
      <c r="B622" t="inlineStr">
        <is>
          <t>2026-07-30</t>
        </is>
      </c>
      <c r="C622" t="n">
        <v>1.88</v>
      </c>
      <c r="D622" t="n">
        <v>51.88</v>
      </c>
      <c r="E622" t="n">
        <v>0.6899999999999999</v>
      </c>
      <c r="F622" t="n">
        <v>2.8</v>
      </c>
      <c r="G622" t="n">
        <v>-38.72</v>
      </c>
      <c r="H622" t="n">
        <v>60</v>
      </c>
      <c r="I622" t="n">
        <v>85</v>
      </c>
      <c r="J622" t="n">
        <v>60</v>
      </c>
      <c r="K622" t="b">
        <v>0</v>
      </c>
      <c r="L622" t="b">
        <v>0</v>
      </c>
      <c r="M622" t="inlineStr">
        <is>
          <t>AVOID</t>
        </is>
      </c>
    </row>
    <row r="623">
      <c r="A623" t="inlineStr">
        <is>
          <t>SAFT</t>
        </is>
      </c>
      <c r="B623" t="inlineStr">
        <is>
          <t>2026-07-30</t>
        </is>
      </c>
      <c r="C623" t="n">
        <v>103.18</v>
      </c>
      <c r="D623" t="n">
        <v>86.81</v>
      </c>
      <c r="E623" t="n">
        <v>0.75</v>
      </c>
      <c r="F623" t="n">
        <v>39.1</v>
      </c>
      <c r="G623" t="n">
        <v>-0.02</v>
      </c>
      <c r="H623" t="n">
        <v>60</v>
      </c>
      <c r="I623" t="n">
        <v>45</v>
      </c>
      <c r="J623" t="n">
        <v>100</v>
      </c>
      <c r="K623" t="b">
        <v>0</v>
      </c>
      <c r="L623" t="b">
        <v>0</v>
      </c>
      <c r="M623" t="inlineStr">
        <is>
          <t>HIGH CONVICTION</t>
        </is>
      </c>
    </row>
    <row r="624">
      <c r="A624" t="inlineStr">
        <is>
          <t>SAIA</t>
        </is>
      </c>
      <c r="B624" t="inlineStr">
        <is>
          <t>2026-07-30</t>
        </is>
      </c>
      <c r="C624" t="n">
        <v>350.31</v>
      </c>
      <c r="D624" t="n">
        <v>26.14</v>
      </c>
      <c r="E624" t="n">
        <v>2.27</v>
      </c>
      <c r="F624" t="n">
        <v>-21.95</v>
      </c>
      <c r="G624" t="n">
        <v>-28.09</v>
      </c>
      <c r="H624" t="n">
        <v>10</v>
      </c>
      <c r="I624" t="n">
        <v>15</v>
      </c>
      <c r="J624" t="n">
        <v>40</v>
      </c>
      <c r="K624" t="b">
        <v>0</v>
      </c>
      <c r="L624" t="b">
        <v>0</v>
      </c>
      <c r="M624" t="inlineStr">
        <is>
          <t>AVOID</t>
        </is>
      </c>
    </row>
    <row r="625">
      <c r="A625" t="inlineStr">
        <is>
          <t>SANM</t>
        </is>
      </c>
      <c r="B625" t="inlineStr">
        <is>
          <t>2026-07-30</t>
        </is>
      </c>
      <c r="C625" t="n">
        <v>184.05</v>
      </c>
      <c r="D625" t="n">
        <v>40.06</v>
      </c>
      <c r="E625" t="n">
        <v>1.2</v>
      </c>
      <c r="F625" t="n">
        <v>-15.5</v>
      </c>
      <c r="G625" t="n">
        <v>-34.9</v>
      </c>
      <c r="H625" t="n">
        <v>25</v>
      </c>
      <c r="I625" t="n">
        <v>40</v>
      </c>
      <c r="J625" t="n">
        <v>25</v>
      </c>
      <c r="K625" t="b">
        <v>0</v>
      </c>
      <c r="L625" t="b">
        <v>0</v>
      </c>
      <c r="M625" t="inlineStr">
        <is>
          <t>AVOID</t>
        </is>
      </c>
    </row>
    <row r="626">
      <c r="A626" t="inlineStr">
        <is>
          <t>SBAC</t>
        </is>
      </c>
      <c r="B626" t="inlineStr">
        <is>
          <t>2026-07-30</t>
        </is>
      </c>
      <c r="C626" t="n">
        <v>181.95</v>
      </c>
      <c r="D626" t="n">
        <v>39.75</v>
      </c>
      <c r="E626" t="n">
        <v>0.8100000000000001</v>
      </c>
      <c r="F626" t="n">
        <v>-17.25</v>
      </c>
      <c r="G626" t="n">
        <v>-19.17</v>
      </c>
      <c r="H626" t="n">
        <v>10</v>
      </c>
      <c r="I626" t="n">
        <v>15</v>
      </c>
      <c r="J626" t="n">
        <v>10</v>
      </c>
      <c r="K626" t="b">
        <v>0</v>
      </c>
      <c r="L626" t="b">
        <v>0</v>
      </c>
      <c r="M626" t="inlineStr">
        <is>
          <t>AVOID</t>
        </is>
      </c>
    </row>
    <row r="627">
      <c r="A627" t="inlineStr">
        <is>
          <t>SBCF</t>
        </is>
      </c>
      <c r="B627" t="inlineStr">
        <is>
          <t>2026-07-30</t>
        </is>
      </c>
      <c r="C627" t="n">
        <v>34.63</v>
      </c>
      <c r="D627" t="n">
        <v>67.03</v>
      </c>
      <c r="E627" t="n">
        <v>0.9399999999999999</v>
      </c>
      <c r="F627" t="n">
        <v>10.71</v>
      </c>
      <c r="G627" t="n">
        <v>-0.08</v>
      </c>
      <c r="H627" t="n">
        <v>60</v>
      </c>
      <c r="I627" t="n">
        <v>45</v>
      </c>
      <c r="J627" t="n">
        <v>100</v>
      </c>
      <c r="K627" t="b">
        <v>0</v>
      </c>
      <c r="L627" t="b">
        <v>0</v>
      </c>
      <c r="M627" t="inlineStr">
        <is>
          <t>HIGH CONVICTION</t>
        </is>
      </c>
    </row>
    <row r="628">
      <c r="A628" t="inlineStr">
        <is>
          <t>SBGI</t>
        </is>
      </c>
      <c r="B628" t="inlineStr">
        <is>
          <t>2026-07-30</t>
        </is>
      </c>
      <c r="C628" t="n">
        <v>13.74</v>
      </c>
      <c r="D628" t="n">
        <v>43.56</v>
      </c>
      <c r="E628" t="n">
        <v>0.47</v>
      </c>
      <c r="F628" t="n">
        <v>-10.02</v>
      </c>
      <c r="G628" t="n">
        <v>-17.11</v>
      </c>
      <c r="H628" t="n">
        <v>10</v>
      </c>
      <c r="I628" t="n">
        <v>15</v>
      </c>
      <c r="J628" t="n">
        <v>10</v>
      </c>
      <c r="K628" t="b">
        <v>0</v>
      </c>
      <c r="L628" t="b">
        <v>0</v>
      </c>
      <c r="M628" t="inlineStr">
        <is>
          <t>AVOID</t>
        </is>
      </c>
    </row>
    <row r="629">
      <c r="A629" t="inlineStr">
        <is>
          <t>SBLK</t>
        </is>
      </c>
      <c r="B629" t="inlineStr">
        <is>
          <t>2026-07-30</t>
        </is>
      </c>
      <c r="C629" t="n">
        <v>28.88</v>
      </c>
      <c r="D629" t="n">
        <v>63.81</v>
      </c>
      <c r="E629" t="n">
        <v>1.02</v>
      </c>
      <c r="F629" t="n">
        <v>17.06</v>
      </c>
      <c r="G629" t="n">
        <v>0</v>
      </c>
      <c r="H629" t="n">
        <v>60</v>
      </c>
      <c r="I629" t="n">
        <v>85</v>
      </c>
      <c r="J629" t="n">
        <v>100</v>
      </c>
      <c r="K629" t="b">
        <v>0</v>
      </c>
      <c r="L629" t="b">
        <v>0</v>
      </c>
      <c r="M629" t="inlineStr">
        <is>
          <t>HIGH CONVICTION</t>
        </is>
      </c>
    </row>
    <row r="630">
      <c r="A630" t="inlineStr">
        <is>
          <t>SBRA</t>
        </is>
      </c>
      <c r="B630" t="inlineStr">
        <is>
          <t>2026-07-30</t>
        </is>
      </c>
      <c r="C630" t="n">
        <v>21.22</v>
      </c>
      <c r="D630" t="n">
        <v>66.39</v>
      </c>
      <c r="E630" t="n">
        <v>0.54</v>
      </c>
      <c r="F630" t="n">
        <v>4.16</v>
      </c>
      <c r="G630" t="n">
        <v>-5.25</v>
      </c>
      <c r="H630" t="n">
        <v>60</v>
      </c>
      <c r="I630" t="n">
        <v>60</v>
      </c>
      <c r="J630" t="n">
        <v>70</v>
      </c>
      <c r="K630" t="b">
        <v>0</v>
      </c>
      <c r="L630" t="b">
        <v>0</v>
      </c>
      <c r="M630" t="inlineStr">
        <is>
          <t>AVOID</t>
        </is>
      </c>
    </row>
    <row r="631">
      <c r="A631" t="inlineStr">
        <is>
          <t>SBUX</t>
        </is>
      </c>
      <c r="B631" t="inlineStr">
        <is>
          <t>2026-07-30</t>
        </is>
      </c>
      <c r="C631" t="n">
        <v>106.82</v>
      </c>
      <c r="D631" t="n">
        <v>52.41</v>
      </c>
      <c r="E631" t="n">
        <v>2.24</v>
      </c>
      <c r="F631" t="n">
        <v>2</v>
      </c>
      <c r="G631" t="n">
        <v>-1.43</v>
      </c>
      <c r="H631" t="n">
        <v>60</v>
      </c>
      <c r="I631" t="n">
        <v>100</v>
      </c>
      <c r="J631" t="n">
        <v>100</v>
      </c>
      <c r="K631" t="b">
        <v>0</v>
      </c>
      <c r="L631" t="b">
        <v>0</v>
      </c>
      <c r="M631" t="inlineStr">
        <is>
          <t>HIGH CONVICTION</t>
        </is>
      </c>
    </row>
    <row r="632">
      <c r="A632" t="inlineStr">
        <is>
          <t>SCHL</t>
        </is>
      </c>
      <c r="B632" t="inlineStr">
        <is>
          <t>2026-07-30</t>
        </is>
      </c>
      <c r="C632" t="n">
        <v>41.77</v>
      </c>
      <c r="D632" t="n">
        <v>31.85</v>
      </c>
      <c r="E632" t="n">
        <v>0.75</v>
      </c>
      <c r="F632" t="n">
        <v>3.49</v>
      </c>
      <c r="G632" t="n">
        <v>-11.77</v>
      </c>
      <c r="H632" t="n">
        <v>35</v>
      </c>
      <c r="I632" t="n">
        <v>25</v>
      </c>
      <c r="J632" t="n">
        <v>35</v>
      </c>
      <c r="K632" t="b">
        <v>0</v>
      </c>
      <c r="L632" t="b">
        <v>0</v>
      </c>
      <c r="M632" t="inlineStr">
        <is>
          <t>AVOID</t>
        </is>
      </c>
    </row>
    <row r="633">
      <c r="A633" t="inlineStr">
        <is>
          <t>SDGR</t>
        </is>
      </c>
      <c r="B633" t="inlineStr">
        <is>
          <t>2026-07-30</t>
        </is>
      </c>
      <c r="C633" t="n">
        <v>15.37</v>
      </c>
      <c r="D633" t="n">
        <v>30.95</v>
      </c>
      <c r="E633" t="n">
        <v>0.57</v>
      </c>
      <c r="F633" t="n">
        <v>28.51</v>
      </c>
      <c r="G633" t="n">
        <v>-31.75</v>
      </c>
      <c r="H633" t="n">
        <v>35</v>
      </c>
      <c r="I633" t="n">
        <v>60</v>
      </c>
      <c r="J633" t="n">
        <v>55</v>
      </c>
      <c r="K633" t="b">
        <v>0</v>
      </c>
      <c r="L633" t="b">
        <v>0</v>
      </c>
      <c r="M633" t="inlineStr">
        <is>
          <t>AVOID</t>
        </is>
      </c>
    </row>
    <row r="634">
      <c r="A634" t="inlineStr">
        <is>
          <t>SEDG</t>
        </is>
      </c>
      <c r="B634" t="inlineStr">
        <is>
          <t>2026-07-30</t>
        </is>
      </c>
      <c r="C634" t="n">
        <v>41.28</v>
      </c>
      <c r="D634" t="n">
        <v>28.1</v>
      </c>
      <c r="E634" t="n">
        <v>0.5</v>
      </c>
      <c r="F634" t="n">
        <v>-3.67</v>
      </c>
      <c r="G634" t="n">
        <v>-47.41</v>
      </c>
      <c r="H634" t="n">
        <v>10</v>
      </c>
      <c r="I634" t="n">
        <v>0</v>
      </c>
      <c r="J634" t="n">
        <v>10</v>
      </c>
      <c r="K634" t="b">
        <v>0</v>
      </c>
      <c r="L634" t="b">
        <v>0</v>
      </c>
      <c r="M634" t="inlineStr">
        <is>
          <t>AVOID</t>
        </is>
      </c>
    </row>
    <row r="635">
      <c r="A635" t="inlineStr">
        <is>
          <t>SEER</t>
        </is>
      </c>
      <c r="B635" t="inlineStr">
        <is>
          <t>2026-07-30</t>
        </is>
      </c>
      <c r="C635" t="n">
        <v>2.11</v>
      </c>
      <c r="D635" t="n">
        <v>45</v>
      </c>
      <c r="E635" t="n">
        <v>0.25</v>
      </c>
      <c r="F635" t="n">
        <v>8.210000000000001</v>
      </c>
      <c r="G635" t="n">
        <v>-10.97</v>
      </c>
      <c r="H635" t="n">
        <v>45</v>
      </c>
      <c r="I635" t="n">
        <v>60</v>
      </c>
      <c r="J635" t="n">
        <v>45</v>
      </c>
      <c r="K635" t="b">
        <v>0</v>
      </c>
      <c r="L635" t="b">
        <v>0</v>
      </c>
      <c r="M635" t="inlineStr">
        <is>
          <t>AVOID</t>
        </is>
      </c>
    </row>
    <row r="636">
      <c r="A636" t="inlineStr">
        <is>
          <t>SEIC</t>
        </is>
      </c>
      <c r="B636" t="inlineStr">
        <is>
          <t>2026-07-30</t>
        </is>
      </c>
      <c r="C636" t="n">
        <v>102.99</v>
      </c>
      <c r="D636" t="n">
        <v>68.72</v>
      </c>
      <c r="E636" t="n">
        <v>0.33</v>
      </c>
      <c r="F636" t="n">
        <v>14.24</v>
      </c>
      <c r="G636" t="n">
        <v>-0.15</v>
      </c>
      <c r="H636" t="n">
        <v>60</v>
      </c>
      <c r="I636" t="n">
        <v>45</v>
      </c>
      <c r="J636" t="n">
        <v>100</v>
      </c>
      <c r="K636" t="b">
        <v>0</v>
      </c>
      <c r="L636" t="b">
        <v>0</v>
      </c>
      <c r="M636" t="inlineStr">
        <is>
          <t>HIGH CONVICTION</t>
        </is>
      </c>
    </row>
    <row r="637">
      <c r="A637" t="inlineStr">
        <is>
          <t>SFIX</t>
        </is>
      </c>
      <c r="B637" t="inlineStr">
        <is>
          <t>2026-07-30</t>
        </is>
      </c>
      <c r="C637" t="n">
        <v>4.09</v>
      </c>
      <c r="D637" t="n">
        <v>63.95</v>
      </c>
      <c r="E637" t="n">
        <v>0.6</v>
      </c>
      <c r="F637" t="n">
        <v>12.36</v>
      </c>
      <c r="G637" t="n">
        <v>-29.85</v>
      </c>
      <c r="H637" t="n">
        <v>50</v>
      </c>
      <c r="I637" t="n">
        <v>70</v>
      </c>
      <c r="J637" t="n">
        <v>60</v>
      </c>
      <c r="K637" t="b">
        <v>0</v>
      </c>
      <c r="L637" t="b">
        <v>0</v>
      </c>
      <c r="M637" t="inlineStr">
        <is>
          <t>AVOID</t>
        </is>
      </c>
    </row>
    <row r="638">
      <c r="A638" t="inlineStr">
        <is>
          <t>SFM</t>
        </is>
      </c>
      <c r="B638" t="inlineStr">
        <is>
          <t>2026-07-30</t>
        </is>
      </c>
      <c r="C638" t="n">
        <v>88.84999999999999</v>
      </c>
      <c r="D638" t="n">
        <v>64.34</v>
      </c>
      <c r="E638" t="n">
        <v>1.66</v>
      </c>
      <c r="F638" t="n">
        <v>8.550000000000001</v>
      </c>
      <c r="G638" t="n">
        <v>-43.79</v>
      </c>
      <c r="H638" t="n">
        <v>50</v>
      </c>
      <c r="I638" t="n">
        <v>85</v>
      </c>
      <c r="J638" t="n">
        <v>70</v>
      </c>
      <c r="K638" t="b">
        <v>0</v>
      </c>
      <c r="L638" t="b">
        <v>0</v>
      </c>
      <c r="M638" t="inlineStr">
        <is>
          <t>AVOID</t>
        </is>
      </c>
    </row>
    <row r="639">
      <c r="A639" t="inlineStr">
        <is>
          <t>SFNC</t>
        </is>
      </c>
      <c r="B639" t="inlineStr">
        <is>
          <t>2026-07-30</t>
        </is>
      </c>
      <c r="C639" t="n">
        <v>23.51</v>
      </c>
      <c r="D639" t="n">
        <v>61.99</v>
      </c>
      <c r="E639" t="n">
        <v>0.54</v>
      </c>
      <c r="F639" t="n">
        <v>11.65</v>
      </c>
      <c r="G639" t="n">
        <v>0</v>
      </c>
      <c r="H639" t="n">
        <v>60</v>
      </c>
      <c r="I639" t="n">
        <v>85</v>
      </c>
      <c r="J639" t="n">
        <v>100</v>
      </c>
      <c r="K639" t="b">
        <v>0</v>
      </c>
      <c r="L639" t="b">
        <v>0</v>
      </c>
      <c r="M639" t="inlineStr">
        <is>
          <t>HIGH CONVICTION</t>
        </is>
      </c>
    </row>
    <row r="640">
      <c r="A640" t="inlineStr">
        <is>
          <t>SG</t>
        </is>
      </c>
      <c r="B640" t="inlineStr">
        <is>
          <t>2026-07-30</t>
        </is>
      </c>
      <c r="C640" t="n">
        <v>6.46</v>
      </c>
      <c r="D640" t="n">
        <v>30.29</v>
      </c>
      <c r="E640" t="n">
        <v>0.54</v>
      </c>
      <c r="F640" t="n">
        <v>-6.1</v>
      </c>
      <c r="G640" t="n">
        <v>-51.57</v>
      </c>
      <c r="H640" t="n">
        <v>10</v>
      </c>
      <c r="I640" t="n">
        <v>0</v>
      </c>
      <c r="J640" t="n">
        <v>10</v>
      </c>
      <c r="K640" t="b">
        <v>0</v>
      </c>
      <c r="L640" t="b">
        <v>0</v>
      </c>
      <c r="M640" t="inlineStr">
        <is>
          <t>AVOID</t>
        </is>
      </c>
    </row>
    <row r="641">
      <c r="A641" t="inlineStr">
        <is>
          <t>SGRY</t>
        </is>
      </c>
      <c r="B641" t="inlineStr">
        <is>
          <t>2026-07-30</t>
        </is>
      </c>
      <c r="C641" t="n">
        <v>15.96</v>
      </c>
      <c r="D641" t="n">
        <v>47.16</v>
      </c>
      <c r="E641" t="n">
        <v>0.36</v>
      </c>
      <c r="F641" t="n">
        <v>13.76</v>
      </c>
      <c r="G641" t="n">
        <v>-33.05</v>
      </c>
      <c r="H641" t="n">
        <v>35</v>
      </c>
      <c r="I641" t="n">
        <v>85</v>
      </c>
      <c r="J641" t="n">
        <v>45</v>
      </c>
      <c r="K641" t="b">
        <v>0</v>
      </c>
      <c r="L641" t="b">
        <v>0</v>
      </c>
      <c r="M641" t="inlineStr">
        <is>
          <t>AVOID</t>
        </is>
      </c>
    </row>
    <row r="642">
      <c r="A642" t="inlineStr">
        <is>
          <t>SHC</t>
        </is>
      </c>
      <c r="B642" t="inlineStr">
        <is>
          <t>2026-07-30</t>
        </is>
      </c>
      <c r="C642" t="n">
        <v>17.78</v>
      </c>
      <c r="D642" t="n">
        <v>41.06</v>
      </c>
      <c r="E642" t="n">
        <v>0.24</v>
      </c>
      <c r="F642" t="n">
        <v>14.27</v>
      </c>
      <c r="G642" t="n">
        <v>-8.109999999999999</v>
      </c>
      <c r="H642" t="n">
        <v>55</v>
      </c>
      <c r="I642" t="n">
        <v>60</v>
      </c>
      <c r="J642" t="n">
        <v>75</v>
      </c>
      <c r="K642" t="b">
        <v>0</v>
      </c>
      <c r="L642" t="b">
        <v>0</v>
      </c>
      <c r="M642" t="inlineStr">
        <is>
          <t>AVOID</t>
        </is>
      </c>
    </row>
    <row r="643">
      <c r="A643" t="inlineStr">
        <is>
          <t>SHEN</t>
        </is>
      </c>
      <c r="B643" t="inlineStr">
        <is>
          <t>2026-07-30</t>
        </is>
      </c>
      <c r="C643" t="n">
        <v>11.65</v>
      </c>
      <c r="D643" t="n">
        <v>39.65</v>
      </c>
      <c r="E643" t="n">
        <v>1.21</v>
      </c>
      <c r="F643" t="n">
        <v>-25.94</v>
      </c>
      <c r="G643" t="n">
        <v>-31.87</v>
      </c>
      <c r="H643" t="n">
        <v>10</v>
      </c>
      <c r="I643" t="n">
        <v>15</v>
      </c>
      <c r="J643" t="n">
        <v>20</v>
      </c>
      <c r="K643" t="b">
        <v>0</v>
      </c>
      <c r="L643" t="b">
        <v>0</v>
      </c>
      <c r="M643" t="inlineStr">
        <is>
          <t>AVOID</t>
        </is>
      </c>
    </row>
    <row r="644">
      <c r="A644" t="inlineStr">
        <is>
          <t>SHOO</t>
        </is>
      </c>
      <c r="B644" t="inlineStr">
        <is>
          <t>2026-07-30</t>
        </is>
      </c>
      <c r="C644" t="n">
        <v>46.4</v>
      </c>
      <c r="D644" t="n">
        <v>72.36</v>
      </c>
      <c r="E644" t="n">
        <v>1.33</v>
      </c>
      <c r="F644" t="n">
        <v>24.11</v>
      </c>
      <c r="G644" t="n">
        <v>0</v>
      </c>
      <c r="H644" t="n">
        <v>50</v>
      </c>
      <c r="I644" t="n">
        <v>60</v>
      </c>
      <c r="J644" t="n">
        <v>100</v>
      </c>
      <c r="K644" t="b">
        <v>0</v>
      </c>
      <c r="L644" t="b">
        <v>0</v>
      </c>
      <c r="M644" t="inlineStr">
        <is>
          <t>HIGH CONVICTION</t>
        </is>
      </c>
    </row>
    <row r="645">
      <c r="A645" t="inlineStr">
        <is>
          <t>SIBN</t>
        </is>
      </c>
      <c r="B645" t="inlineStr">
        <is>
          <t>2026-07-30</t>
        </is>
      </c>
      <c r="C645" t="n">
        <v>18.03</v>
      </c>
      <c r="D645" t="n">
        <v>54.14</v>
      </c>
      <c r="E645" t="n">
        <v>0.58</v>
      </c>
      <c r="F645" t="n">
        <v>45.52</v>
      </c>
      <c r="G645" t="n">
        <v>-15.75</v>
      </c>
      <c r="H645" t="n">
        <v>60</v>
      </c>
      <c r="I645" t="n">
        <v>70</v>
      </c>
      <c r="J645" t="n">
        <v>90</v>
      </c>
      <c r="K645" t="b">
        <v>0</v>
      </c>
      <c r="L645" t="b">
        <v>0</v>
      </c>
      <c r="M645" t="inlineStr">
        <is>
          <t>WATCH</t>
        </is>
      </c>
    </row>
    <row r="646">
      <c r="A646" t="inlineStr">
        <is>
          <t>SIGI</t>
        </is>
      </c>
      <c r="B646" t="inlineStr">
        <is>
          <t>2026-07-30</t>
        </is>
      </c>
      <c r="C646" t="n">
        <v>94.39</v>
      </c>
      <c r="D646" t="n">
        <v>47.1</v>
      </c>
      <c r="E646" t="n">
        <v>0.62</v>
      </c>
      <c r="F646" t="n">
        <v>13</v>
      </c>
      <c r="G646" t="n">
        <v>-5.75</v>
      </c>
      <c r="H646" t="n">
        <v>45</v>
      </c>
      <c r="I646" t="n">
        <v>85</v>
      </c>
      <c r="J646" t="n">
        <v>65</v>
      </c>
      <c r="K646" t="b">
        <v>0</v>
      </c>
      <c r="L646" t="b">
        <v>0</v>
      </c>
      <c r="M646" t="inlineStr">
        <is>
          <t>AVOID</t>
        </is>
      </c>
    </row>
    <row r="647">
      <c r="A647" t="inlineStr">
        <is>
          <t>SIMO</t>
        </is>
      </c>
      <c r="B647" t="inlineStr">
        <is>
          <t>2026-07-30</t>
        </is>
      </c>
      <c r="C647" t="n">
        <v>240.5</v>
      </c>
      <c r="D647" t="n">
        <v>31.98</v>
      </c>
      <c r="E647" t="n">
        <v>2.33</v>
      </c>
      <c r="F647" t="n">
        <v>10.15</v>
      </c>
      <c r="G647" t="n">
        <v>-28.61</v>
      </c>
      <c r="H647" t="n">
        <v>25</v>
      </c>
      <c r="I647" t="n">
        <v>40</v>
      </c>
      <c r="J647" t="n">
        <v>65</v>
      </c>
      <c r="K647" t="b">
        <v>0</v>
      </c>
      <c r="L647" t="b">
        <v>0</v>
      </c>
      <c r="M647" t="inlineStr">
        <is>
          <t>AVOID</t>
        </is>
      </c>
    </row>
    <row r="648">
      <c r="A648" t="inlineStr">
        <is>
          <t>SITM</t>
        </is>
      </c>
      <c r="B648" t="inlineStr">
        <is>
          <t>2026-07-30</t>
        </is>
      </c>
      <c r="C648" t="n">
        <v>530.42</v>
      </c>
      <c r="D648" t="n">
        <v>35.89</v>
      </c>
      <c r="E648" t="n">
        <v>1</v>
      </c>
      <c r="F648" t="n">
        <v>-5.64</v>
      </c>
      <c r="G648" t="n">
        <v>-41.16</v>
      </c>
      <c r="H648" t="n">
        <v>25</v>
      </c>
      <c r="I648" t="n">
        <v>25</v>
      </c>
      <c r="J648" t="n">
        <v>25</v>
      </c>
      <c r="K648" t="b">
        <v>0</v>
      </c>
      <c r="L648" t="b">
        <v>0</v>
      </c>
      <c r="M648" t="inlineStr">
        <is>
          <t>AVOID</t>
        </is>
      </c>
    </row>
    <row r="649">
      <c r="A649" t="inlineStr">
        <is>
          <t>SKYW</t>
        </is>
      </c>
      <c r="B649" t="inlineStr">
        <is>
          <t>2026-07-30</t>
        </is>
      </c>
      <c r="C649" t="n">
        <v>108.78</v>
      </c>
      <c r="D649" t="n">
        <v>61.73</v>
      </c>
      <c r="E649" t="n">
        <v>0.48</v>
      </c>
      <c r="F649" t="n">
        <v>32.46</v>
      </c>
      <c r="G649" t="n">
        <v>-12.08</v>
      </c>
      <c r="H649" t="n">
        <v>50</v>
      </c>
      <c r="I649" t="n">
        <v>70</v>
      </c>
      <c r="J649" t="n">
        <v>80</v>
      </c>
      <c r="K649" t="b">
        <v>0</v>
      </c>
      <c r="L649" t="b">
        <v>0</v>
      </c>
      <c r="M649" t="inlineStr">
        <is>
          <t>AVOID</t>
        </is>
      </c>
    </row>
    <row r="650">
      <c r="A650" t="inlineStr">
        <is>
          <t>SLAB</t>
        </is>
      </c>
      <c r="B650" t="inlineStr">
        <is>
          <t>2026-07-30</t>
        </is>
      </c>
      <c r="C650" t="n">
        <v>217.69</v>
      </c>
      <c r="D650" t="n">
        <v>41.55</v>
      </c>
      <c r="E650" t="n">
        <v>0.3</v>
      </c>
      <c r="F650" t="n">
        <v>-0</v>
      </c>
      <c r="G650" t="n">
        <v>-1.2</v>
      </c>
      <c r="H650" t="n">
        <v>25</v>
      </c>
      <c r="I650" t="n">
        <v>40</v>
      </c>
      <c r="J650" t="n">
        <v>55</v>
      </c>
      <c r="K650" t="b">
        <v>0</v>
      </c>
      <c r="L650" t="b">
        <v>0</v>
      </c>
      <c r="M650" t="inlineStr">
        <is>
          <t>AVOID</t>
        </is>
      </c>
    </row>
    <row r="651">
      <c r="A651" t="inlineStr">
        <is>
          <t>SLGN</t>
        </is>
      </c>
      <c r="B651" t="inlineStr">
        <is>
          <t>2026-07-30</t>
        </is>
      </c>
      <c r="C651" t="n">
        <v>40.84</v>
      </c>
      <c r="D651" t="n">
        <v>35.84</v>
      </c>
      <c r="E651" t="n">
        <v>1.2</v>
      </c>
      <c r="F651" t="n">
        <v>1.28</v>
      </c>
      <c r="G651" t="n">
        <v>-15.58</v>
      </c>
      <c r="H651" t="n">
        <v>20</v>
      </c>
      <c r="I651" t="n">
        <v>15</v>
      </c>
      <c r="J651" t="n">
        <v>30</v>
      </c>
      <c r="K651" t="b">
        <v>0</v>
      </c>
      <c r="L651" t="b">
        <v>0</v>
      </c>
      <c r="M651" t="inlineStr">
        <is>
          <t>AVOID</t>
        </is>
      </c>
    </row>
    <row r="652">
      <c r="A652" t="inlineStr">
        <is>
          <t>SLM</t>
        </is>
      </c>
      <c r="B652" t="inlineStr">
        <is>
          <t>2026-07-30</t>
        </is>
      </c>
      <c r="C652" t="n">
        <v>25.83</v>
      </c>
      <c r="D652" t="n">
        <v>59.16</v>
      </c>
      <c r="E652" t="n">
        <v>0.37</v>
      </c>
      <c r="F652" t="n">
        <v>12.59</v>
      </c>
      <c r="G652" t="n">
        <v>-20.27</v>
      </c>
      <c r="H652" t="n">
        <v>50</v>
      </c>
      <c r="I652" t="n">
        <v>85</v>
      </c>
      <c r="J652" t="n">
        <v>60</v>
      </c>
      <c r="K652" t="b">
        <v>0</v>
      </c>
      <c r="L652" t="b">
        <v>0</v>
      </c>
      <c r="M652" t="inlineStr">
        <is>
          <t>AVOID</t>
        </is>
      </c>
    </row>
    <row r="653">
      <c r="A653" t="inlineStr">
        <is>
          <t>SLN</t>
        </is>
      </c>
      <c r="B653" t="inlineStr">
        <is>
          <t>2026-07-30</t>
        </is>
      </c>
      <c r="C653" t="n">
        <v>11.43</v>
      </c>
      <c r="D653" t="n">
        <v>69.18000000000001</v>
      </c>
      <c r="E653" t="n">
        <v>1.18</v>
      </c>
      <c r="F653" t="n">
        <v>56.36</v>
      </c>
      <c r="G653" t="n">
        <v>-5.3</v>
      </c>
      <c r="H653" t="n">
        <v>60</v>
      </c>
      <c r="I653" t="n">
        <v>60</v>
      </c>
      <c r="J653" t="n">
        <v>100</v>
      </c>
      <c r="K653" t="b">
        <v>0</v>
      </c>
      <c r="L653" t="b">
        <v>0</v>
      </c>
      <c r="M653" t="inlineStr">
        <is>
          <t>HIGH CONVICTION</t>
        </is>
      </c>
    </row>
    <row r="654">
      <c r="A654" t="inlineStr">
        <is>
          <t>SLP</t>
        </is>
      </c>
      <c r="B654" t="inlineStr">
        <is>
          <t>2026-07-30</t>
        </is>
      </c>
      <c r="C654" t="n">
        <v>18.32</v>
      </c>
      <c r="D654" t="n">
        <v>65.38</v>
      </c>
      <c r="E654" t="n">
        <v>0.25</v>
      </c>
      <c r="F654" t="n">
        <v>29.29</v>
      </c>
      <c r="G654" t="n">
        <v>-12.09</v>
      </c>
      <c r="H654" t="n">
        <v>60</v>
      </c>
      <c r="I654" t="n">
        <v>60</v>
      </c>
      <c r="J654" t="n">
        <v>80</v>
      </c>
      <c r="K654" t="b">
        <v>0</v>
      </c>
      <c r="L654" t="b">
        <v>0</v>
      </c>
      <c r="M654" t="inlineStr">
        <is>
          <t>AVOID</t>
        </is>
      </c>
    </row>
    <row r="655">
      <c r="A655" t="inlineStr">
        <is>
          <t>SLRC</t>
        </is>
      </c>
      <c r="B655" t="inlineStr">
        <is>
          <t>2026-07-30</t>
        </is>
      </c>
      <c r="C655" t="n">
        <v>12.73</v>
      </c>
      <c r="D655" t="n">
        <v>42.98</v>
      </c>
      <c r="E655" t="n">
        <v>0.33</v>
      </c>
      <c r="F655" t="n">
        <v>-17.48</v>
      </c>
      <c r="G655" t="n">
        <v>-19.17</v>
      </c>
      <c r="H655" t="n">
        <v>10</v>
      </c>
      <c r="I655" t="n">
        <v>15</v>
      </c>
      <c r="J655" t="n">
        <v>10</v>
      </c>
      <c r="K655" t="b">
        <v>0</v>
      </c>
      <c r="L655" t="b">
        <v>0</v>
      </c>
      <c r="M655" t="inlineStr">
        <is>
          <t>AVOID</t>
        </is>
      </c>
    </row>
    <row r="656">
      <c r="A656" t="inlineStr">
        <is>
          <t>SMCI</t>
        </is>
      </c>
      <c r="B656" t="inlineStr">
        <is>
          <t>2026-07-30</t>
        </is>
      </c>
      <c r="C656" t="n">
        <v>27.88</v>
      </c>
      <c r="D656" t="n">
        <v>48.9</v>
      </c>
      <c r="E656" t="n">
        <v>0.67</v>
      </c>
      <c r="F656" t="n">
        <v>1.75</v>
      </c>
      <c r="G656" t="n">
        <v>-54.08</v>
      </c>
      <c r="H656" t="n">
        <v>10</v>
      </c>
      <c r="I656" t="n">
        <v>40</v>
      </c>
      <c r="J656" t="n">
        <v>10</v>
      </c>
      <c r="K656" t="b">
        <v>0</v>
      </c>
      <c r="L656" t="b">
        <v>0</v>
      </c>
      <c r="M656" t="inlineStr">
        <is>
          <t>AVOID</t>
        </is>
      </c>
    </row>
    <row r="657">
      <c r="A657" t="inlineStr">
        <is>
          <t>SMPL</t>
        </is>
      </c>
      <c r="B657" t="inlineStr">
        <is>
          <t>2026-07-30</t>
        </is>
      </c>
      <c r="C657" t="n">
        <v>10.25</v>
      </c>
      <c r="D657" t="n">
        <v>25.29</v>
      </c>
      <c r="E657" t="n">
        <v>0.7</v>
      </c>
      <c r="F657" t="n">
        <v>-23.34</v>
      </c>
      <c r="G657" t="n">
        <v>-67.04000000000001</v>
      </c>
      <c r="H657" t="n">
        <v>0</v>
      </c>
      <c r="I657" t="n">
        <v>0</v>
      </c>
      <c r="J657" t="n">
        <v>0</v>
      </c>
      <c r="K657" t="b">
        <v>0</v>
      </c>
      <c r="L657" t="b">
        <v>0</v>
      </c>
      <c r="M657" t="inlineStr">
        <is>
          <t>AVOID</t>
        </is>
      </c>
    </row>
    <row r="658">
      <c r="A658" t="inlineStr">
        <is>
          <t>SMTC</t>
        </is>
      </c>
      <c r="B658" t="inlineStr">
        <is>
          <t>2026-07-30</t>
        </is>
      </c>
      <c r="C658" t="n">
        <v>116.09</v>
      </c>
      <c r="D658" t="n">
        <v>39.2</v>
      </c>
      <c r="E658" t="n">
        <v>0.5600000000000001</v>
      </c>
      <c r="F658" t="n">
        <v>10.51</v>
      </c>
      <c r="G658" t="n">
        <v>-33.56</v>
      </c>
      <c r="H658" t="n">
        <v>25</v>
      </c>
      <c r="I658" t="n">
        <v>25</v>
      </c>
      <c r="J658" t="n">
        <v>35</v>
      </c>
      <c r="K658" t="b">
        <v>0</v>
      </c>
      <c r="L658" t="b">
        <v>0</v>
      </c>
      <c r="M658" t="inlineStr">
        <is>
          <t>AVOID</t>
        </is>
      </c>
    </row>
    <row r="659">
      <c r="A659" t="inlineStr">
        <is>
          <t>SNDX</t>
        </is>
      </c>
      <c r="B659" t="inlineStr">
        <is>
          <t>2026-07-30</t>
        </is>
      </c>
      <c r="C659" t="n">
        <v>19.36</v>
      </c>
      <c r="D659" t="n">
        <v>23.07</v>
      </c>
      <c r="E659" t="n">
        <v>0.37</v>
      </c>
      <c r="F659" t="n">
        <v>-9.66</v>
      </c>
      <c r="G659" t="n">
        <v>-23.02</v>
      </c>
      <c r="H659" t="n">
        <v>20</v>
      </c>
      <c r="I659" t="n">
        <v>0</v>
      </c>
      <c r="J659" t="n">
        <v>20</v>
      </c>
      <c r="K659" t="b">
        <v>0</v>
      </c>
      <c r="L659" t="b">
        <v>0</v>
      </c>
      <c r="M659" t="inlineStr">
        <is>
          <t>AVOID</t>
        </is>
      </c>
    </row>
    <row r="660">
      <c r="A660" t="inlineStr">
        <is>
          <t>SNEX</t>
        </is>
      </c>
      <c r="B660" t="inlineStr">
        <is>
          <t>2026-07-30</t>
        </is>
      </c>
      <c r="C660" t="n">
        <v>77.14</v>
      </c>
      <c r="D660" t="n">
        <v>47.72</v>
      </c>
      <c r="E660" t="n">
        <v>0.51</v>
      </c>
      <c r="F660" t="n">
        <v>9.140000000000001</v>
      </c>
      <c r="G660" t="n">
        <v>-16.76</v>
      </c>
      <c r="H660" t="n">
        <v>35</v>
      </c>
      <c r="I660" t="n">
        <v>65</v>
      </c>
      <c r="J660" t="n">
        <v>35</v>
      </c>
      <c r="K660" t="b">
        <v>0</v>
      </c>
      <c r="L660" t="b">
        <v>0</v>
      </c>
      <c r="M660" t="inlineStr">
        <is>
          <t>AVOID</t>
        </is>
      </c>
    </row>
    <row r="661">
      <c r="A661" t="inlineStr">
        <is>
          <t>SNPS</t>
        </is>
      </c>
      <c r="B661" t="inlineStr">
        <is>
          <t>2026-07-30</t>
        </is>
      </c>
      <c r="C661" t="n">
        <v>372.24</v>
      </c>
      <c r="D661" t="n">
        <v>20.82</v>
      </c>
      <c r="E661" t="n">
        <v>0.65</v>
      </c>
      <c r="F661" t="n">
        <v>-22.87</v>
      </c>
      <c r="G661" t="n">
        <v>-42.32</v>
      </c>
      <c r="H661" t="n">
        <v>0</v>
      </c>
      <c r="I661" t="n">
        <v>0</v>
      </c>
      <c r="J661" t="n">
        <v>0</v>
      </c>
      <c r="K661" t="b">
        <v>0</v>
      </c>
      <c r="L661" t="b">
        <v>0</v>
      </c>
      <c r="M661" t="inlineStr">
        <is>
          <t>AVOID</t>
        </is>
      </c>
    </row>
    <row r="662">
      <c r="A662" t="inlineStr">
        <is>
          <t>SNY</t>
        </is>
      </c>
      <c r="B662" t="inlineStr">
        <is>
          <t>2026-07-30</t>
        </is>
      </c>
      <c r="C662" t="n">
        <v>42.43</v>
      </c>
      <c r="D662" t="n">
        <v>44.36</v>
      </c>
      <c r="E662" t="n">
        <v>2.35</v>
      </c>
      <c r="F662" t="n">
        <v>-3.86</v>
      </c>
      <c r="G662" t="n">
        <v>-14.44</v>
      </c>
      <c r="H662" t="n">
        <v>10</v>
      </c>
      <c r="I662" t="n">
        <v>30</v>
      </c>
      <c r="J662" t="n">
        <v>40</v>
      </c>
      <c r="K662" t="b">
        <v>0</v>
      </c>
      <c r="L662" t="b">
        <v>0</v>
      </c>
      <c r="M662" t="inlineStr">
        <is>
          <t>AVOID</t>
        </is>
      </c>
    </row>
    <row r="663">
      <c r="A663" t="inlineStr">
        <is>
          <t>SONO</t>
        </is>
      </c>
      <c r="B663" t="inlineStr">
        <is>
          <t>2026-07-30</t>
        </is>
      </c>
      <c r="C663" t="n">
        <v>14.37</v>
      </c>
      <c r="D663" t="n">
        <v>49.37</v>
      </c>
      <c r="E663" t="n">
        <v>1.32</v>
      </c>
      <c r="F663" t="n">
        <v>-3.1</v>
      </c>
      <c r="G663" t="n">
        <v>-25</v>
      </c>
      <c r="H663" t="n">
        <v>0</v>
      </c>
      <c r="I663" t="n">
        <v>55</v>
      </c>
      <c r="J663" t="n">
        <v>10</v>
      </c>
      <c r="K663" t="b">
        <v>0</v>
      </c>
      <c r="L663" t="b">
        <v>0</v>
      </c>
      <c r="M663" t="inlineStr">
        <is>
          <t>AVOID</t>
        </is>
      </c>
    </row>
    <row r="664">
      <c r="A664" t="inlineStr">
        <is>
          <t>SPRO</t>
        </is>
      </c>
      <c r="B664" t="inlineStr">
        <is>
          <t>2026-07-30</t>
        </is>
      </c>
      <c r="C664" t="n">
        <v>1.2</v>
      </c>
      <c r="D664" t="n">
        <v>11.81</v>
      </c>
      <c r="E664" t="n">
        <v>0.13</v>
      </c>
      <c r="F664" t="n">
        <v>-52.39</v>
      </c>
      <c r="G664" t="n">
        <v>-59.9</v>
      </c>
      <c r="H664" t="n">
        <v>0</v>
      </c>
      <c r="I664" t="n">
        <v>0</v>
      </c>
      <c r="J664" t="n">
        <v>0</v>
      </c>
      <c r="K664" t="b">
        <v>0</v>
      </c>
      <c r="L664" t="b">
        <v>0</v>
      </c>
      <c r="M664" t="inlineStr">
        <is>
          <t>AVOID</t>
        </is>
      </c>
    </row>
    <row r="665">
      <c r="A665" t="inlineStr">
        <is>
          <t>SPSC</t>
        </is>
      </c>
      <c r="B665" t="inlineStr">
        <is>
          <t>2026-07-30</t>
        </is>
      </c>
      <c r="C665" t="n">
        <v>65.91</v>
      </c>
      <c r="D665" t="n">
        <v>59.77</v>
      </c>
      <c r="E665" t="n">
        <v>0.5600000000000001</v>
      </c>
      <c r="F665" t="n">
        <v>17.44</v>
      </c>
      <c r="G665" t="n">
        <v>-52.77</v>
      </c>
      <c r="H665" t="n">
        <v>35</v>
      </c>
      <c r="I665" t="n">
        <v>45</v>
      </c>
      <c r="J665" t="n">
        <v>45</v>
      </c>
      <c r="K665" t="b">
        <v>0</v>
      </c>
      <c r="L665" t="b">
        <v>0</v>
      </c>
      <c r="M665" t="inlineStr">
        <is>
          <t>AVOID</t>
        </is>
      </c>
    </row>
    <row r="666">
      <c r="A666" t="inlineStr">
        <is>
          <t>SPT</t>
        </is>
      </c>
      <c r="B666" t="inlineStr">
        <is>
          <t>2026-07-30</t>
        </is>
      </c>
      <c r="C666" t="n">
        <v>8.359999999999999</v>
      </c>
      <c r="D666" t="n">
        <v>51.05</v>
      </c>
      <c r="E666" t="n">
        <v>0.61</v>
      </c>
      <c r="F666" t="n">
        <v>39.42</v>
      </c>
      <c r="G666" t="n">
        <v>-55</v>
      </c>
      <c r="H666" t="n">
        <v>50</v>
      </c>
      <c r="I666" t="n">
        <v>85</v>
      </c>
      <c r="J666" t="n">
        <v>80</v>
      </c>
      <c r="K666" t="b">
        <v>0</v>
      </c>
      <c r="L666" t="b">
        <v>0</v>
      </c>
      <c r="M666" t="inlineStr">
        <is>
          <t>AVOID</t>
        </is>
      </c>
    </row>
    <row r="667">
      <c r="A667" t="inlineStr">
        <is>
          <t>SPWH</t>
        </is>
      </c>
      <c r="B667" t="inlineStr">
        <is>
          <t>2026-07-30</t>
        </is>
      </c>
      <c r="C667" t="n">
        <v>1.14</v>
      </c>
      <c r="D667" t="n">
        <v>30</v>
      </c>
      <c r="E667" t="n">
        <v>0.48</v>
      </c>
      <c r="F667" t="n">
        <v>-19.15</v>
      </c>
      <c r="G667" t="n">
        <v>-68.68000000000001</v>
      </c>
      <c r="H667" t="n">
        <v>0</v>
      </c>
      <c r="I667" t="n">
        <v>0</v>
      </c>
      <c r="J667" t="n">
        <v>0</v>
      </c>
      <c r="K667" t="b">
        <v>0</v>
      </c>
      <c r="L667" t="b">
        <v>0</v>
      </c>
      <c r="M667" t="inlineStr">
        <is>
          <t>AVOID</t>
        </is>
      </c>
    </row>
    <row r="668">
      <c r="A668" t="inlineStr">
        <is>
          <t>SPWR</t>
        </is>
      </c>
      <c r="B668" t="inlineStr">
        <is>
          <t>2026-07-30</t>
        </is>
      </c>
      <c r="C668" t="n">
        <v>0.31</v>
      </c>
      <c r="D668" t="n">
        <v>16.63</v>
      </c>
      <c r="E668" t="n">
        <v>0.74</v>
      </c>
      <c r="F668" t="n">
        <v>-62.9</v>
      </c>
      <c r="G668" t="n">
        <v>-85.44</v>
      </c>
      <c r="H668" t="n">
        <v>0</v>
      </c>
      <c r="I668" t="n">
        <v>0</v>
      </c>
      <c r="J668" t="n">
        <v>0</v>
      </c>
      <c r="K668" t="b">
        <v>0</v>
      </c>
      <c r="L668" t="b">
        <v>0</v>
      </c>
      <c r="M668" t="inlineStr">
        <is>
          <t>AVOID</t>
        </is>
      </c>
    </row>
    <row r="669">
      <c r="A669" t="inlineStr">
        <is>
          <t>SRPT</t>
        </is>
      </c>
      <c r="B669" t="inlineStr">
        <is>
          <t>2026-07-30</t>
        </is>
      </c>
      <c r="C669" t="n">
        <v>15.41</v>
      </c>
      <c r="D669" t="n">
        <v>8.85</v>
      </c>
      <c r="E669" t="n">
        <v>0.59</v>
      </c>
      <c r="F669" t="n">
        <v>-26.17</v>
      </c>
      <c r="G669" t="n">
        <v>-36.95</v>
      </c>
      <c r="H669" t="n">
        <v>10</v>
      </c>
      <c r="I669" t="n">
        <v>0</v>
      </c>
      <c r="J669" t="n">
        <v>10</v>
      </c>
      <c r="K669" t="b">
        <v>0</v>
      </c>
      <c r="L669" t="b">
        <v>0</v>
      </c>
      <c r="M669" t="inlineStr">
        <is>
          <t>AVOID</t>
        </is>
      </c>
    </row>
    <row r="670">
      <c r="A670" t="inlineStr">
        <is>
          <t>SRRK</t>
        </is>
      </c>
      <c r="B670" t="inlineStr">
        <is>
          <t>2026-07-30</t>
        </is>
      </c>
      <c r="C670" t="n">
        <v>49.78</v>
      </c>
      <c r="D670" t="n">
        <v>30.05</v>
      </c>
      <c r="E670" t="n">
        <v>0.68</v>
      </c>
      <c r="F670" t="n">
        <v>6.81</v>
      </c>
      <c r="G670" t="n">
        <v>-14.07</v>
      </c>
      <c r="H670" t="n">
        <v>35</v>
      </c>
      <c r="I670" t="n">
        <v>25</v>
      </c>
      <c r="J670" t="n">
        <v>35</v>
      </c>
      <c r="K670" t="b">
        <v>0</v>
      </c>
      <c r="L670" t="b">
        <v>0</v>
      </c>
      <c r="M670" t="inlineStr">
        <is>
          <t>AVOID</t>
        </is>
      </c>
    </row>
    <row r="671">
      <c r="A671" t="inlineStr">
        <is>
          <t>SSB</t>
        </is>
      </c>
      <c r="B671" t="inlineStr">
        <is>
          <t>2026-07-30</t>
        </is>
      </c>
      <c r="C671" t="n">
        <v>105.54</v>
      </c>
      <c r="D671" t="n">
        <v>68.8</v>
      </c>
      <c r="E671" t="n">
        <v>0.34</v>
      </c>
      <c r="F671" t="n">
        <v>8.73</v>
      </c>
      <c r="G671" t="n">
        <v>-1.5</v>
      </c>
      <c r="H671" t="n">
        <v>60</v>
      </c>
      <c r="I671" t="n">
        <v>45</v>
      </c>
      <c r="J671" t="n">
        <v>90</v>
      </c>
      <c r="K671" t="b">
        <v>0</v>
      </c>
      <c r="L671" t="b">
        <v>0</v>
      </c>
      <c r="M671" t="inlineStr">
        <is>
          <t>WATCH</t>
        </is>
      </c>
    </row>
    <row r="672">
      <c r="A672" t="inlineStr">
        <is>
          <t>SSNC</t>
        </is>
      </c>
      <c r="B672" t="inlineStr">
        <is>
          <t>2026-07-30</t>
        </is>
      </c>
      <c r="C672" t="n">
        <v>76.95</v>
      </c>
      <c r="D672" t="n">
        <v>72.62</v>
      </c>
      <c r="E672" t="n">
        <v>0.54</v>
      </c>
      <c r="F672" t="n">
        <v>11.48</v>
      </c>
      <c r="G672" t="n">
        <v>-13.66</v>
      </c>
      <c r="H672" t="n">
        <v>50</v>
      </c>
      <c r="I672" t="n">
        <v>45</v>
      </c>
      <c r="J672" t="n">
        <v>60</v>
      </c>
      <c r="K672" t="b">
        <v>0</v>
      </c>
      <c r="L672" t="b">
        <v>0</v>
      </c>
      <c r="M672" t="inlineStr">
        <is>
          <t>AVOID</t>
        </is>
      </c>
    </row>
    <row r="673">
      <c r="A673" t="inlineStr">
        <is>
          <t>SSP</t>
        </is>
      </c>
      <c r="B673" t="inlineStr">
        <is>
          <t>2026-07-30</t>
        </is>
      </c>
      <c r="C673" t="n">
        <v>2.79</v>
      </c>
      <c r="D673" t="n">
        <v>42.35</v>
      </c>
      <c r="E673" t="n">
        <v>0.89</v>
      </c>
      <c r="F673" t="n">
        <v>-41.86</v>
      </c>
      <c r="G673" t="n">
        <v>-46.03</v>
      </c>
      <c r="H673" t="n">
        <v>0</v>
      </c>
      <c r="I673" t="n">
        <v>0</v>
      </c>
      <c r="J673" t="n">
        <v>0</v>
      </c>
      <c r="K673" t="b">
        <v>0</v>
      </c>
      <c r="L673" t="b">
        <v>0</v>
      </c>
      <c r="M673" t="inlineStr">
        <is>
          <t>AVOID</t>
        </is>
      </c>
    </row>
    <row r="674">
      <c r="A674" t="inlineStr">
        <is>
          <t>SSRM</t>
        </is>
      </c>
      <c r="B674" t="inlineStr">
        <is>
          <t>2026-07-30</t>
        </is>
      </c>
      <c r="C674" t="n">
        <v>26.3</v>
      </c>
      <c r="D674" t="n">
        <v>39.53</v>
      </c>
      <c r="E674" t="n">
        <v>0.72</v>
      </c>
      <c r="F674" t="n">
        <v>-8.73</v>
      </c>
      <c r="G674" t="n">
        <v>-26.43</v>
      </c>
      <c r="H674" t="n">
        <v>10</v>
      </c>
      <c r="I674" t="n">
        <v>0</v>
      </c>
      <c r="J674" t="n">
        <v>10</v>
      </c>
      <c r="K674" t="b">
        <v>0</v>
      </c>
      <c r="L674" t="b">
        <v>0</v>
      </c>
      <c r="M674" t="inlineStr">
        <is>
          <t>AVOID</t>
        </is>
      </c>
    </row>
    <row r="675">
      <c r="A675" t="inlineStr">
        <is>
          <t>SSYS</t>
        </is>
      </c>
      <c r="B675" t="inlineStr">
        <is>
          <t>2026-07-30</t>
        </is>
      </c>
      <c r="C675" t="n">
        <v>7.97</v>
      </c>
      <c r="D675" t="n">
        <v>35.2</v>
      </c>
      <c r="E675" t="n">
        <v>0.61</v>
      </c>
      <c r="F675" t="n">
        <v>-10.15</v>
      </c>
      <c r="G675" t="n">
        <v>-35.93</v>
      </c>
      <c r="H675" t="n">
        <v>0</v>
      </c>
      <c r="I675" t="n">
        <v>15</v>
      </c>
      <c r="J675" t="n">
        <v>0</v>
      </c>
      <c r="K675" t="b">
        <v>0</v>
      </c>
      <c r="L675" t="b">
        <v>0</v>
      </c>
      <c r="M675" t="inlineStr">
        <is>
          <t>AVOID</t>
        </is>
      </c>
    </row>
    <row r="676">
      <c r="A676" t="inlineStr">
        <is>
          <t>STAA</t>
        </is>
      </c>
      <c r="B676" t="inlineStr">
        <is>
          <t>2026-07-30</t>
        </is>
      </c>
      <c r="C676" t="n">
        <v>23.83</v>
      </c>
      <c r="D676" t="n">
        <v>32.36</v>
      </c>
      <c r="E676" t="n">
        <v>0.45</v>
      </c>
      <c r="F676" t="n">
        <v>-9.619999999999999</v>
      </c>
      <c r="G676" t="n">
        <v>-28.54</v>
      </c>
      <c r="H676" t="n">
        <v>10</v>
      </c>
      <c r="I676" t="n">
        <v>0</v>
      </c>
      <c r="J676" t="n">
        <v>10</v>
      </c>
      <c r="K676" t="b">
        <v>0</v>
      </c>
      <c r="L676" t="b">
        <v>0</v>
      </c>
      <c r="M676" t="inlineStr">
        <is>
          <t>AVOID</t>
        </is>
      </c>
    </row>
    <row r="677">
      <c r="A677" t="inlineStr">
        <is>
          <t>STEP</t>
        </is>
      </c>
      <c r="B677" t="inlineStr">
        <is>
          <t>2026-07-30</t>
        </is>
      </c>
      <c r="C677" t="n">
        <v>43.93</v>
      </c>
      <c r="D677" t="n">
        <v>53.26</v>
      </c>
      <c r="E677" t="n">
        <v>0.26</v>
      </c>
      <c r="F677" t="n">
        <v>-15.37</v>
      </c>
      <c r="G677" t="n">
        <v>-40.95</v>
      </c>
      <c r="H677" t="n">
        <v>15</v>
      </c>
      <c r="I677" t="n">
        <v>40</v>
      </c>
      <c r="J677" t="n">
        <v>15</v>
      </c>
      <c r="K677" t="b">
        <v>0</v>
      </c>
      <c r="L677" t="b">
        <v>0</v>
      </c>
      <c r="M677" t="inlineStr">
        <is>
          <t>AVOID</t>
        </is>
      </c>
    </row>
    <row r="678">
      <c r="A678" t="inlineStr">
        <is>
          <t>STIM</t>
        </is>
      </c>
      <c r="B678" t="inlineStr">
        <is>
          <t>2026-07-30</t>
        </is>
      </c>
      <c r="C678" t="n">
        <v>1.96</v>
      </c>
      <c r="D678" t="n">
        <v>56.7</v>
      </c>
      <c r="E678" t="n">
        <v>0.26</v>
      </c>
      <c r="F678" t="n">
        <v>0.77</v>
      </c>
      <c r="G678" t="n">
        <v>-58.05</v>
      </c>
      <c r="H678" t="n">
        <v>50</v>
      </c>
      <c r="I678" t="n">
        <v>70</v>
      </c>
      <c r="J678" t="n">
        <v>50</v>
      </c>
      <c r="K678" t="b">
        <v>0</v>
      </c>
      <c r="L678" t="b">
        <v>0</v>
      </c>
      <c r="M678" t="inlineStr">
        <is>
          <t>AVOID</t>
        </is>
      </c>
    </row>
    <row r="679">
      <c r="A679" t="inlineStr">
        <is>
          <t>STLD</t>
        </is>
      </c>
      <c r="B679" t="inlineStr">
        <is>
          <t>2026-07-30</t>
        </is>
      </c>
      <c r="C679" t="n">
        <v>253.47</v>
      </c>
      <c r="D679" t="n">
        <v>73.8</v>
      </c>
      <c r="E679" t="n">
        <v>0.44</v>
      </c>
      <c r="F679" t="n">
        <v>11.1</v>
      </c>
      <c r="G679" t="n">
        <v>-10.16</v>
      </c>
      <c r="H679" t="n">
        <v>50</v>
      </c>
      <c r="I679" t="n">
        <v>45</v>
      </c>
      <c r="J679" t="n">
        <v>60</v>
      </c>
      <c r="K679" t="b">
        <v>0</v>
      </c>
      <c r="L679" t="b">
        <v>0</v>
      </c>
      <c r="M679" t="inlineStr">
        <is>
          <t>AVOID</t>
        </is>
      </c>
    </row>
    <row r="680">
      <c r="A680" t="inlineStr">
        <is>
          <t>STNE</t>
        </is>
      </c>
      <c r="B680" t="inlineStr">
        <is>
          <t>2026-07-30</t>
        </is>
      </c>
      <c r="C680" t="n">
        <v>11.18</v>
      </c>
      <c r="D680" t="n">
        <v>49.27</v>
      </c>
      <c r="E680" t="n">
        <v>0.42</v>
      </c>
      <c r="F680" t="n">
        <v>1.82</v>
      </c>
      <c r="G680" t="n">
        <v>-30.46</v>
      </c>
      <c r="H680" t="n">
        <v>30</v>
      </c>
      <c r="I680" t="n">
        <v>60</v>
      </c>
      <c r="J680" t="n">
        <v>30</v>
      </c>
      <c r="K680" t="b">
        <v>0</v>
      </c>
      <c r="L680" t="b">
        <v>0</v>
      </c>
      <c r="M680" t="inlineStr">
        <is>
          <t>AVOID</t>
        </is>
      </c>
    </row>
    <row r="681">
      <c r="A681" t="inlineStr">
        <is>
          <t>STOK</t>
        </is>
      </c>
      <c r="B681" t="inlineStr">
        <is>
          <t>2026-07-30</t>
        </is>
      </c>
      <c r="C681" t="n">
        <v>29.67</v>
      </c>
      <c r="D681" t="n">
        <v>39.21</v>
      </c>
      <c r="E681" t="n">
        <v>0.46</v>
      </c>
      <c r="F681" t="n">
        <v>-9.34</v>
      </c>
      <c r="G681" t="n">
        <v>-22.65</v>
      </c>
      <c r="H681" t="n">
        <v>0</v>
      </c>
      <c r="I681" t="n">
        <v>15</v>
      </c>
      <c r="J681" t="n">
        <v>0</v>
      </c>
      <c r="K681" t="b">
        <v>0</v>
      </c>
      <c r="L681" t="b">
        <v>0</v>
      </c>
      <c r="M681" t="inlineStr">
        <is>
          <t>AVOID</t>
        </is>
      </c>
    </row>
    <row r="682">
      <c r="A682" t="inlineStr">
        <is>
          <t>STRA</t>
        </is>
      </c>
      <c r="B682" t="inlineStr">
        <is>
          <t>2026-07-30</t>
        </is>
      </c>
      <c r="C682" t="n">
        <v>85.59</v>
      </c>
      <c r="D682" t="n">
        <v>52.15</v>
      </c>
      <c r="E682" t="n">
        <v>1.17</v>
      </c>
      <c r="F682" t="n">
        <v>10.01</v>
      </c>
      <c r="G682" t="n">
        <v>-2.32</v>
      </c>
      <c r="H682" t="n">
        <v>50</v>
      </c>
      <c r="I682" t="n">
        <v>85</v>
      </c>
      <c r="J682" t="n">
        <v>80</v>
      </c>
      <c r="K682" t="b">
        <v>0</v>
      </c>
      <c r="L682" t="b">
        <v>0</v>
      </c>
      <c r="M682" t="inlineStr">
        <is>
          <t>AVOID</t>
        </is>
      </c>
    </row>
    <row r="683">
      <c r="A683" t="inlineStr">
        <is>
          <t>STRL</t>
        </is>
      </c>
      <c r="B683" t="inlineStr">
        <is>
          <t>2026-07-30</t>
        </is>
      </c>
      <c r="C683" t="n">
        <v>578.1</v>
      </c>
      <c r="D683" t="n">
        <v>38.98</v>
      </c>
      <c r="E683" t="n">
        <v>0.89</v>
      </c>
      <c r="F683" t="n">
        <v>12.12</v>
      </c>
      <c r="G683" t="n">
        <v>-41.83</v>
      </c>
      <c r="H683" t="n">
        <v>25</v>
      </c>
      <c r="I683" t="n">
        <v>25</v>
      </c>
      <c r="J683" t="n">
        <v>35</v>
      </c>
      <c r="K683" t="b">
        <v>0</v>
      </c>
      <c r="L683" t="b">
        <v>0</v>
      </c>
      <c r="M683" t="inlineStr">
        <is>
          <t>AVOID</t>
        </is>
      </c>
    </row>
    <row r="684">
      <c r="A684" t="inlineStr">
        <is>
          <t>STRO</t>
        </is>
      </c>
      <c r="B684" t="inlineStr">
        <is>
          <t>2026-07-30</t>
        </is>
      </c>
      <c r="C684" t="n">
        <v>24.9</v>
      </c>
      <c r="D684" t="n">
        <v>30.32</v>
      </c>
      <c r="E684" t="n">
        <v>0.2</v>
      </c>
      <c r="F684" t="n">
        <v>-32</v>
      </c>
      <c r="G684" t="n">
        <v>-39.13</v>
      </c>
      <c r="H684" t="n">
        <v>25</v>
      </c>
      <c r="I684" t="n">
        <v>25</v>
      </c>
      <c r="J684" t="n">
        <v>25</v>
      </c>
      <c r="K684" t="b">
        <v>0</v>
      </c>
      <c r="L684" t="b">
        <v>0</v>
      </c>
      <c r="M684" t="inlineStr">
        <is>
          <t>AVOID</t>
        </is>
      </c>
    </row>
    <row r="685">
      <c r="A685" t="inlineStr">
        <is>
          <t>STTK</t>
        </is>
      </c>
      <c r="B685" t="inlineStr">
        <is>
          <t>2026-07-30</t>
        </is>
      </c>
      <c r="C685" t="n">
        <v>7.14</v>
      </c>
      <c r="D685" t="n">
        <v>55.76</v>
      </c>
      <c r="E685" t="n">
        <v>0.3</v>
      </c>
      <c r="F685" t="n">
        <v>-0.14</v>
      </c>
      <c r="G685" t="n">
        <v>-9.390000000000001</v>
      </c>
      <c r="H685" t="n">
        <v>60</v>
      </c>
      <c r="I685" t="n">
        <v>85</v>
      </c>
      <c r="J685" t="n">
        <v>70</v>
      </c>
      <c r="K685" t="b">
        <v>0</v>
      </c>
      <c r="L685" t="b">
        <v>0</v>
      </c>
      <c r="M685" t="inlineStr">
        <is>
          <t>AVOID</t>
        </is>
      </c>
    </row>
    <row r="686">
      <c r="A686" t="inlineStr">
        <is>
          <t>STX</t>
        </is>
      </c>
      <c r="B686" t="inlineStr">
        <is>
          <t>2026-07-30</t>
        </is>
      </c>
      <c r="C686" t="n">
        <v>848.64</v>
      </c>
      <c r="D686" t="n">
        <v>45.14</v>
      </c>
      <c r="E686" t="n">
        <v>1.06</v>
      </c>
      <c r="F686" t="n">
        <v>26.07</v>
      </c>
      <c r="G686" t="n">
        <v>-22.38</v>
      </c>
      <c r="H686" t="n">
        <v>35</v>
      </c>
      <c r="I686" t="n">
        <v>80</v>
      </c>
      <c r="J686" t="n">
        <v>55</v>
      </c>
      <c r="K686" t="b">
        <v>0</v>
      </c>
      <c r="L686" t="b">
        <v>0</v>
      </c>
      <c r="M686" t="inlineStr">
        <is>
          <t>AVOID</t>
        </is>
      </c>
    </row>
    <row r="687">
      <c r="A687" t="inlineStr">
        <is>
          <t>SUPN</t>
        </is>
      </c>
      <c r="B687" t="inlineStr">
        <is>
          <t>2026-07-30</t>
        </is>
      </c>
      <c r="C687" t="n">
        <v>45.66</v>
      </c>
      <c r="D687" t="n">
        <v>36.49</v>
      </c>
      <c r="E687" t="n">
        <v>0.29</v>
      </c>
      <c r="F687" t="n">
        <v>-4.88</v>
      </c>
      <c r="G687" t="n">
        <v>-19.89</v>
      </c>
      <c r="H687" t="n">
        <v>10</v>
      </c>
      <c r="I687" t="n">
        <v>0</v>
      </c>
      <c r="J687" t="n">
        <v>10</v>
      </c>
      <c r="K687" t="b">
        <v>0</v>
      </c>
      <c r="L687" t="b">
        <v>0</v>
      </c>
      <c r="M687" t="inlineStr">
        <is>
          <t>AVOID</t>
        </is>
      </c>
    </row>
    <row r="688">
      <c r="A688" t="inlineStr">
        <is>
          <t>SVC</t>
        </is>
      </c>
      <c r="B688" t="inlineStr">
        <is>
          <t>2026-07-30</t>
        </is>
      </c>
      <c r="C688" t="n">
        <v>8.07</v>
      </c>
      <c r="D688" t="n">
        <v>30.39</v>
      </c>
      <c r="E688" t="n">
        <v>0.66</v>
      </c>
      <c r="F688" t="n">
        <v>4.74</v>
      </c>
      <c r="G688" t="n">
        <v>-43.33</v>
      </c>
      <c r="H688" t="n">
        <v>10</v>
      </c>
      <c r="I688" t="n">
        <v>0</v>
      </c>
      <c r="J688" t="n">
        <v>10</v>
      </c>
      <c r="K688" t="b">
        <v>0</v>
      </c>
      <c r="L688" t="b">
        <v>0</v>
      </c>
      <c r="M688" t="inlineStr">
        <is>
          <t>AVOID</t>
        </is>
      </c>
    </row>
    <row r="689">
      <c r="A689" t="inlineStr">
        <is>
          <t>SWBI</t>
        </is>
      </c>
      <c r="B689" t="inlineStr">
        <is>
          <t>2026-07-30</t>
        </is>
      </c>
      <c r="C689" t="n">
        <v>14.93</v>
      </c>
      <c r="D689" t="n">
        <v>41.34</v>
      </c>
      <c r="E689" t="n">
        <v>0.54</v>
      </c>
      <c r="F689" t="n">
        <v>-3.09</v>
      </c>
      <c r="G689" t="n">
        <v>-9.66</v>
      </c>
      <c r="H689" t="n">
        <v>35</v>
      </c>
      <c r="I689" t="n">
        <v>40</v>
      </c>
      <c r="J689" t="n">
        <v>45</v>
      </c>
      <c r="K689" t="b">
        <v>0</v>
      </c>
      <c r="L689" t="b">
        <v>0</v>
      </c>
      <c r="M689" t="inlineStr">
        <is>
          <t>AVOID</t>
        </is>
      </c>
    </row>
    <row r="690">
      <c r="A690" t="inlineStr">
        <is>
          <t>SWKS</t>
        </is>
      </c>
      <c r="B690" t="inlineStr">
        <is>
          <t>2026-07-30</t>
        </is>
      </c>
      <c r="C690" t="n">
        <v>61.61</v>
      </c>
      <c r="D690" t="n">
        <v>52.83</v>
      </c>
      <c r="E690" t="n">
        <v>0.92</v>
      </c>
      <c r="F690" t="n">
        <v>-11.44</v>
      </c>
      <c r="G690" t="n">
        <v>-26.14</v>
      </c>
      <c r="H690" t="n">
        <v>25</v>
      </c>
      <c r="I690" t="n">
        <v>40</v>
      </c>
      <c r="J690" t="n">
        <v>25</v>
      </c>
      <c r="K690" t="b">
        <v>0</v>
      </c>
      <c r="L690" t="b">
        <v>0</v>
      </c>
      <c r="M690" t="inlineStr">
        <is>
          <t>AVOID</t>
        </is>
      </c>
    </row>
    <row r="691">
      <c r="A691" t="inlineStr">
        <is>
          <t>SYNA</t>
        </is>
      </c>
      <c r="B691" t="inlineStr">
        <is>
          <t>2026-07-30</t>
        </is>
      </c>
      <c r="C691" t="n">
        <v>109.12</v>
      </c>
      <c r="D691" t="n">
        <v>34.49</v>
      </c>
      <c r="E691" t="n">
        <v>0.74</v>
      </c>
      <c r="F691" t="n">
        <v>16.59</v>
      </c>
      <c r="G691" t="n">
        <v>-26.06</v>
      </c>
      <c r="H691" t="n">
        <v>25</v>
      </c>
      <c r="I691" t="n">
        <v>25</v>
      </c>
      <c r="J691" t="n">
        <v>35</v>
      </c>
      <c r="K691" t="b">
        <v>0</v>
      </c>
      <c r="L691" t="b">
        <v>0</v>
      </c>
      <c r="M691" t="inlineStr">
        <is>
          <t>AVOID</t>
        </is>
      </c>
    </row>
    <row r="692">
      <c r="A692" t="inlineStr">
        <is>
          <t>TARS</t>
        </is>
      </c>
      <c r="B692" t="inlineStr">
        <is>
          <t>2026-07-30</t>
        </is>
      </c>
      <c r="C692" t="n">
        <v>59.22</v>
      </c>
      <c r="D692" t="n">
        <v>53.03</v>
      </c>
      <c r="E692" t="n">
        <v>0.24</v>
      </c>
      <c r="F692" t="n">
        <v>-6.89</v>
      </c>
      <c r="G692" t="n">
        <v>-28.22</v>
      </c>
      <c r="H692" t="n">
        <v>5</v>
      </c>
      <c r="I692" t="n">
        <v>40</v>
      </c>
      <c r="J692" t="n">
        <v>5</v>
      </c>
      <c r="K692" t="b">
        <v>0</v>
      </c>
      <c r="L692" t="b">
        <v>0</v>
      </c>
      <c r="M692" t="inlineStr">
        <is>
          <t>AVOID</t>
        </is>
      </c>
    </row>
    <row r="693">
      <c r="A693" t="inlineStr">
        <is>
          <t>TBBK</t>
        </is>
      </c>
      <c r="B693" t="inlineStr">
        <is>
          <t>2026-07-30</t>
        </is>
      </c>
      <c r="C693" t="n">
        <v>65.79000000000001</v>
      </c>
      <c r="D693" t="n">
        <v>47.35</v>
      </c>
      <c r="E693" t="n">
        <v>1.25</v>
      </c>
      <c r="F693" t="n">
        <v>9.970000000000001</v>
      </c>
      <c r="G693" t="n">
        <v>-18.1</v>
      </c>
      <c r="H693" t="n">
        <v>35</v>
      </c>
      <c r="I693" t="n">
        <v>100</v>
      </c>
      <c r="J693" t="n">
        <v>45</v>
      </c>
      <c r="K693" t="b">
        <v>0</v>
      </c>
      <c r="L693" t="b">
        <v>0</v>
      </c>
      <c r="M693" t="inlineStr">
        <is>
          <t>AVOID</t>
        </is>
      </c>
    </row>
    <row r="694">
      <c r="A694" t="inlineStr">
        <is>
          <t>TBPH</t>
        </is>
      </c>
      <c r="B694" t="inlineStr">
        <is>
          <t>2026-07-30</t>
        </is>
      </c>
      <c r="C694" t="n">
        <v>16.86</v>
      </c>
      <c r="D694" t="n">
        <v>42.86</v>
      </c>
      <c r="E694" t="n">
        <v>0.23</v>
      </c>
      <c r="F694" t="n">
        <v>0.75</v>
      </c>
      <c r="G694" t="n">
        <v>-18.68</v>
      </c>
      <c r="H694" t="n">
        <v>20</v>
      </c>
      <c r="I694" t="n">
        <v>35</v>
      </c>
      <c r="J694" t="n">
        <v>20</v>
      </c>
      <c r="K694" t="b">
        <v>0</v>
      </c>
      <c r="L694" t="b">
        <v>0</v>
      </c>
      <c r="M694" t="inlineStr">
        <is>
          <t>AVOID</t>
        </is>
      </c>
    </row>
    <row r="695">
      <c r="A695" t="inlineStr">
        <is>
          <t>TCBI</t>
        </is>
      </c>
      <c r="B695" t="inlineStr">
        <is>
          <t>2026-07-30</t>
        </is>
      </c>
      <c r="C695" t="n">
        <v>98.95</v>
      </c>
      <c r="D695" t="n">
        <v>40.68</v>
      </c>
      <c r="E695" t="n">
        <v>0.44</v>
      </c>
      <c r="F695" t="n">
        <v>-1.54</v>
      </c>
      <c r="G695" t="n">
        <v>-8.16</v>
      </c>
      <c r="H695" t="n">
        <v>35</v>
      </c>
      <c r="I695" t="n">
        <v>25</v>
      </c>
      <c r="J695" t="n">
        <v>45</v>
      </c>
      <c r="K695" t="b">
        <v>0</v>
      </c>
      <c r="L695" t="b">
        <v>0</v>
      </c>
      <c r="M695" t="inlineStr">
        <is>
          <t>AVOID</t>
        </is>
      </c>
    </row>
    <row r="696">
      <c r="A696" t="inlineStr">
        <is>
          <t>TCBK</t>
        </is>
      </c>
      <c r="B696" t="inlineStr">
        <is>
          <t>2026-07-30</t>
        </is>
      </c>
      <c r="C696" t="n">
        <v>58.01</v>
      </c>
      <c r="D696" t="n">
        <v>63.93</v>
      </c>
      <c r="E696" t="n">
        <v>0.17</v>
      </c>
      <c r="F696" t="n">
        <v>16.22</v>
      </c>
      <c r="G696" t="n">
        <v>-5.86</v>
      </c>
      <c r="H696" t="n">
        <v>60</v>
      </c>
      <c r="I696" t="n">
        <v>85</v>
      </c>
      <c r="J696" t="n">
        <v>80</v>
      </c>
      <c r="K696" t="b">
        <v>0</v>
      </c>
      <c r="L696" t="b">
        <v>0</v>
      </c>
      <c r="M696" t="inlineStr">
        <is>
          <t>AVOID</t>
        </is>
      </c>
    </row>
    <row r="697">
      <c r="A697" t="inlineStr">
        <is>
          <t>TCOM</t>
        </is>
      </c>
      <c r="B697" t="inlineStr">
        <is>
          <t>2026-07-30</t>
        </is>
      </c>
      <c r="C697" t="n">
        <v>46.22</v>
      </c>
      <c r="D697" t="n">
        <v>66.90000000000001</v>
      </c>
      <c r="E697" t="n">
        <v>0.77</v>
      </c>
      <c r="F697" t="n">
        <v>-14.74</v>
      </c>
      <c r="G697" t="n">
        <v>-41.46</v>
      </c>
      <c r="H697" t="n">
        <v>25</v>
      </c>
      <c r="I697" t="n">
        <v>20</v>
      </c>
      <c r="J697" t="n">
        <v>25</v>
      </c>
      <c r="K697" t="b">
        <v>0</v>
      </c>
      <c r="L697" t="b">
        <v>0</v>
      </c>
      <c r="M697" t="inlineStr">
        <is>
          <t>AVOID</t>
        </is>
      </c>
    </row>
    <row r="698">
      <c r="A698" t="inlineStr">
        <is>
          <t>TCPC</t>
        </is>
      </c>
      <c r="B698" t="inlineStr">
        <is>
          <t>2026-07-30</t>
        </is>
      </c>
      <c r="C698" t="n">
        <v>3.25</v>
      </c>
      <c r="D698" t="n">
        <v>49.38</v>
      </c>
      <c r="E698" t="n">
        <v>0.68</v>
      </c>
      <c r="F698" t="n">
        <v>-21.04</v>
      </c>
      <c r="G698" t="n">
        <v>-46.27</v>
      </c>
      <c r="H698" t="n">
        <v>10</v>
      </c>
      <c r="I698" t="n">
        <v>40</v>
      </c>
      <c r="J698" t="n">
        <v>10</v>
      </c>
      <c r="K698" t="b">
        <v>0</v>
      </c>
      <c r="L698" t="b">
        <v>0</v>
      </c>
      <c r="M698" t="inlineStr">
        <is>
          <t>AVOID</t>
        </is>
      </c>
    </row>
    <row r="699">
      <c r="A699" t="inlineStr">
        <is>
          <t>TEAM</t>
        </is>
      </c>
      <c r="B699" t="inlineStr">
        <is>
          <t>2026-07-30</t>
        </is>
      </c>
      <c r="C699" t="n">
        <v>97.86</v>
      </c>
      <c r="D699" t="n">
        <v>56.56</v>
      </c>
      <c r="E699" t="n">
        <v>0.6899999999999999</v>
      </c>
      <c r="F699" t="n">
        <v>42.67</v>
      </c>
      <c r="G699" t="n">
        <v>-50.37</v>
      </c>
      <c r="H699" t="n">
        <v>35</v>
      </c>
      <c r="I699" t="n">
        <v>45</v>
      </c>
      <c r="J699" t="n">
        <v>65</v>
      </c>
      <c r="K699" t="b">
        <v>0</v>
      </c>
      <c r="L699" t="b">
        <v>0</v>
      </c>
      <c r="M699" t="inlineStr">
        <is>
          <t>AVOID</t>
        </is>
      </c>
    </row>
    <row r="700">
      <c r="A700" t="inlineStr">
        <is>
          <t>TECH</t>
        </is>
      </c>
      <c r="B700" t="inlineStr">
        <is>
          <t>2026-07-30</t>
        </is>
      </c>
      <c r="C700" t="n">
        <v>72.04000000000001</v>
      </c>
      <c r="D700" t="n">
        <v>65.22</v>
      </c>
      <c r="E700" t="n">
        <v>0.75</v>
      </c>
      <c r="F700" t="n">
        <v>30.46</v>
      </c>
      <c r="G700" t="n">
        <v>-0.12</v>
      </c>
      <c r="H700" t="n">
        <v>60</v>
      </c>
      <c r="I700" t="n">
        <v>60</v>
      </c>
      <c r="J700" t="n">
        <v>100</v>
      </c>
      <c r="K700" t="b">
        <v>0</v>
      </c>
      <c r="L700" t="b">
        <v>0</v>
      </c>
      <c r="M700" t="inlineStr">
        <is>
          <t>HIGH CONVICTION</t>
        </is>
      </c>
    </row>
    <row r="701">
      <c r="A701" t="inlineStr">
        <is>
          <t>TENB</t>
        </is>
      </c>
      <c r="B701" t="inlineStr">
        <is>
          <t>2026-07-30</t>
        </is>
      </c>
      <c r="C701" t="n">
        <v>32.32</v>
      </c>
      <c r="D701" t="n">
        <v>29.42</v>
      </c>
      <c r="E701" t="n">
        <v>1.82</v>
      </c>
      <c r="F701" t="n">
        <v>54.72</v>
      </c>
      <c r="G701" t="n">
        <v>-24.22</v>
      </c>
      <c r="H701" t="n">
        <v>45</v>
      </c>
      <c r="I701" t="n">
        <v>60</v>
      </c>
      <c r="J701" t="n">
        <v>100</v>
      </c>
      <c r="K701" t="b">
        <v>0</v>
      </c>
      <c r="L701" t="b">
        <v>0</v>
      </c>
      <c r="M701" t="inlineStr">
        <is>
          <t>HIGH CONVICTION</t>
        </is>
      </c>
    </row>
    <row r="702">
      <c r="A702" t="inlineStr">
        <is>
          <t>TER</t>
        </is>
      </c>
      <c r="B702" t="inlineStr">
        <is>
          <t>2026-07-30</t>
        </is>
      </c>
      <c r="C702" t="n">
        <v>367.52</v>
      </c>
      <c r="D702" t="n">
        <v>51.76</v>
      </c>
      <c r="E702" t="n">
        <v>1.09</v>
      </c>
      <c r="F702" t="n">
        <v>7.04</v>
      </c>
      <c r="G702" t="n">
        <v>-24.04</v>
      </c>
      <c r="H702" t="n">
        <v>40</v>
      </c>
      <c r="I702" t="n">
        <v>65</v>
      </c>
      <c r="J702" t="n">
        <v>40</v>
      </c>
      <c r="K702" t="b">
        <v>0</v>
      </c>
      <c r="L702" t="b">
        <v>0</v>
      </c>
      <c r="M702" t="inlineStr">
        <is>
          <t>AVOID</t>
        </is>
      </c>
    </row>
    <row r="703">
      <c r="A703" t="inlineStr">
        <is>
          <t>TFSL</t>
        </is>
      </c>
      <c r="B703" t="inlineStr">
        <is>
          <t>2026-07-30</t>
        </is>
      </c>
      <c r="C703" t="n">
        <v>18.19</v>
      </c>
      <c r="D703" t="n">
        <v>62.3</v>
      </c>
      <c r="E703" t="n">
        <v>0.54</v>
      </c>
      <c r="F703" t="n">
        <v>23.06</v>
      </c>
      <c r="G703" t="n">
        <v>-1.54</v>
      </c>
      <c r="H703" t="n">
        <v>60</v>
      </c>
      <c r="I703" t="n">
        <v>85</v>
      </c>
      <c r="J703" t="n">
        <v>100</v>
      </c>
      <c r="K703" t="b">
        <v>0</v>
      </c>
      <c r="L703" t="b">
        <v>0</v>
      </c>
      <c r="M703" t="inlineStr">
        <is>
          <t>HIGH CONVICTION</t>
        </is>
      </c>
    </row>
    <row r="704">
      <c r="A704" t="inlineStr">
        <is>
          <t>TGTX</t>
        </is>
      </c>
      <c r="B704" t="inlineStr">
        <is>
          <t>2026-07-30</t>
        </is>
      </c>
      <c r="C704" t="n">
        <v>53.9</v>
      </c>
      <c r="D704" t="n">
        <v>38.35</v>
      </c>
      <c r="E704" t="n">
        <v>0.68</v>
      </c>
      <c r="F704" t="n">
        <v>59.56</v>
      </c>
      <c r="G704" t="n">
        <v>-8.74</v>
      </c>
      <c r="H704" t="n">
        <v>45</v>
      </c>
      <c r="I704" t="n">
        <v>60</v>
      </c>
      <c r="J704" t="n">
        <v>95</v>
      </c>
      <c r="K704" t="b">
        <v>0</v>
      </c>
      <c r="L704" t="b">
        <v>0</v>
      </c>
      <c r="M704" t="inlineStr">
        <is>
          <t>HIGH CONVICTION</t>
        </is>
      </c>
    </row>
    <row r="705">
      <c r="A705" t="inlineStr">
        <is>
          <t>THRM</t>
        </is>
      </c>
      <c r="B705" t="inlineStr">
        <is>
          <t>2026-07-30</t>
        </is>
      </c>
      <c r="C705" t="n">
        <v>42.08</v>
      </c>
      <c r="D705" t="n">
        <v>65.84999999999999</v>
      </c>
      <c r="E705" t="n">
        <v>1.22</v>
      </c>
      <c r="F705" t="n">
        <v>39.8</v>
      </c>
      <c r="G705" t="n">
        <v>-7.74</v>
      </c>
      <c r="H705" t="n">
        <v>60</v>
      </c>
      <c r="I705" t="n">
        <v>60</v>
      </c>
      <c r="J705" t="n">
        <v>100</v>
      </c>
      <c r="K705" t="b">
        <v>0</v>
      </c>
      <c r="L705" t="b">
        <v>0</v>
      </c>
      <c r="M705" t="inlineStr">
        <is>
          <t>HIGH CONVICTION</t>
        </is>
      </c>
    </row>
    <row r="706">
      <c r="A706" t="inlineStr">
        <is>
          <t>THRY</t>
        </is>
      </c>
      <c r="B706" t="inlineStr">
        <is>
          <t>2026-07-30</t>
        </is>
      </c>
      <c r="C706" t="n">
        <v>4.05</v>
      </c>
      <c r="D706" t="n">
        <v>48.75</v>
      </c>
      <c r="E706" t="n">
        <v>0.62</v>
      </c>
      <c r="F706" t="n">
        <v>13.27</v>
      </c>
      <c r="G706" t="n">
        <v>-70.72</v>
      </c>
      <c r="H706" t="n">
        <v>20</v>
      </c>
      <c r="I706" t="n">
        <v>60</v>
      </c>
      <c r="J706" t="n">
        <v>30</v>
      </c>
      <c r="K706" t="b">
        <v>0</v>
      </c>
      <c r="L706" t="b">
        <v>0</v>
      </c>
      <c r="M706" t="inlineStr">
        <is>
          <t>AVOID</t>
        </is>
      </c>
    </row>
    <row r="707">
      <c r="A707" t="inlineStr">
        <is>
          <t>TIGO</t>
        </is>
      </c>
      <c r="B707" t="inlineStr">
        <is>
          <t>2026-07-30</t>
        </is>
      </c>
      <c r="C707" t="n">
        <v>95.12</v>
      </c>
      <c r="D707" t="n">
        <v>45.53</v>
      </c>
      <c r="E707" t="n">
        <v>0.74</v>
      </c>
      <c r="F707" t="n">
        <v>12.98</v>
      </c>
      <c r="G707" t="n">
        <v>-3.53</v>
      </c>
      <c r="H707" t="n">
        <v>45</v>
      </c>
      <c r="I707" t="n">
        <v>85</v>
      </c>
      <c r="J707" t="n">
        <v>75</v>
      </c>
      <c r="K707" t="b">
        <v>0</v>
      </c>
      <c r="L707" t="b">
        <v>0</v>
      </c>
      <c r="M707" t="inlineStr">
        <is>
          <t>AVOID</t>
        </is>
      </c>
    </row>
    <row r="708">
      <c r="A708" t="inlineStr">
        <is>
          <t>TIGR</t>
        </is>
      </c>
      <c r="B708" t="inlineStr">
        <is>
          <t>2026-07-30</t>
        </is>
      </c>
      <c r="C708" t="n">
        <v>4.86</v>
      </c>
      <c r="D708" t="n">
        <v>59.7</v>
      </c>
      <c r="E708" t="n">
        <v>0.48</v>
      </c>
      <c r="F708" t="n">
        <v>-26.29</v>
      </c>
      <c r="G708" t="n">
        <v>-62.55</v>
      </c>
      <c r="H708" t="n">
        <v>25</v>
      </c>
      <c r="I708" t="n">
        <v>45</v>
      </c>
      <c r="J708" t="n">
        <v>25</v>
      </c>
      <c r="K708" t="b">
        <v>0</v>
      </c>
      <c r="L708" t="b">
        <v>0</v>
      </c>
      <c r="M708" t="inlineStr">
        <is>
          <t>AVOID</t>
        </is>
      </c>
    </row>
    <row r="709">
      <c r="A709" t="inlineStr">
        <is>
          <t>TILE</t>
        </is>
      </c>
      <c r="B709" t="inlineStr">
        <is>
          <t>2026-07-30</t>
        </is>
      </c>
      <c r="C709" t="n">
        <v>33.66</v>
      </c>
      <c r="D709" t="n">
        <v>52.43</v>
      </c>
      <c r="E709" t="n">
        <v>0.39</v>
      </c>
      <c r="F709" t="n">
        <v>20.85</v>
      </c>
      <c r="G709" t="n">
        <v>-6.34</v>
      </c>
      <c r="H709" t="n">
        <v>60</v>
      </c>
      <c r="I709" t="n">
        <v>85</v>
      </c>
      <c r="J709" t="n">
        <v>90</v>
      </c>
      <c r="K709" t="b">
        <v>0</v>
      </c>
      <c r="L709" t="b">
        <v>0</v>
      </c>
      <c r="M709" t="inlineStr">
        <is>
          <t>WATCH</t>
        </is>
      </c>
    </row>
    <row r="710">
      <c r="A710" t="inlineStr">
        <is>
          <t>TLRY</t>
        </is>
      </c>
      <c r="B710" t="inlineStr">
        <is>
          <t>2026-07-30</t>
        </is>
      </c>
      <c r="C710" t="n">
        <v>4.24</v>
      </c>
      <c r="D710" t="n">
        <v>41.79</v>
      </c>
      <c r="E710" t="n">
        <v>1.48</v>
      </c>
      <c r="F710" t="n">
        <v>-32.01</v>
      </c>
      <c r="G710" t="n">
        <v>-79.8</v>
      </c>
      <c r="H710" t="n">
        <v>0</v>
      </c>
      <c r="I710" t="n">
        <v>30</v>
      </c>
      <c r="J710" t="n">
        <v>10</v>
      </c>
      <c r="K710" t="b">
        <v>0</v>
      </c>
      <c r="L710" t="b">
        <v>0</v>
      </c>
      <c r="M710" t="inlineStr">
        <is>
          <t>AVOID</t>
        </is>
      </c>
    </row>
    <row r="711">
      <c r="A711" t="inlineStr">
        <is>
          <t>TMDX</t>
        </is>
      </c>
      <c r="B711" t="inlineStr">
        <is>
          <t>2026-07-30</t>
        </is>
      </c>
      <c r="C711" t="n">
        <v>74.84999999999999</v>
      </c>
      <c r="D711" t="n">
        <v>57.67</v>
      </c>
      <c r="E711" t="n">
        <v>0.72</v>
      </c>
      <c r="F711" t="n">
        <v>-25.74</v>
      </c>
      <c r="G711" t="n">
        <v>-50.24</v>
      </c>
      <c r="H711" t="n">
        <v>35</v>
      </c>
      <c r="I711" t="n">
        <v>60</v>
      </c>
      <c r="J711" t="n">
        <v>35</v>
      </c>
      <c r="K711" t="b">
        <v>0</v>
      </c>
      <c r="L711" t="b">
        <v>0</v>
      </c>
      <c r="M711" t="inlineStr">
        <is>
          <t>AVOID</t>
        </is>
      </c>
    </row>
    <row r="712">
      <c r="A712" t="inlineStr">
        <is>
          <t>TMUS</t>
        </is>
      </c>
      <c r="B712" t="inlineStr">
        <is>
          <t>2026-07-30</t>
        </is>
      </c>
      <c r="C712" t="n">
        <v>174.86</v>
      </c>
      <c r="D712" t="n">
        <v>39.76</v>
      </c>
      <c r="E712" t="n">
        <v>0.71</v>
      </c>
      <c r="F712" t="n">
        <v>-10.07</v>
      </c>
      <c r="G712" t="n">
        <v>-31.22</v>
      </c>
      <c r="H712" t="n">
        <v>10</v>
      </c>
      <c r="I712" t="n">
        <v>0</v>
      </c>
      <c r="J712" t="n">
        <v>10</v>
      </c>
      <c r="K712" t="b">
        <v>0</v>
      </c>
      <c r="L712" t="b">
        <v>0</v>
      </c>
      <c r="M712" t="inlineStr">
        <is>
          <t>AVOID</t>
        </is>
      </c>
    </row>
    <row r="713">
      <c r="A713" t="inlineStr">
        <is>
          <t>TNDM</t>
        </is>
      </c>
      <c r="B713" t="inlineStr">
        <is>
          <t>2026-07-30</t>
        </is>
      </c>
      <c r="C713" t="n">
        <v>18.4</v>
      </c>
      <c r="D713" t="n">
        <v>69.39</v>
      </c>
      <c r="E713" t="n">
        <v>0.68</v>
      </c>
      <c r="F713" t="n">
        <v>-5.76</v>
      </c>
      <c r="G713" t="n">
        <v>-34.89</v>
      </c>
      <c r="H713" t="n">
        <v>35</v>
      </c>
      <c r="I713" t="n">
        <v>20</v>
      </c>
      <c r="J713" t="n">
        <v>35</v>
      </c>
      <c r="K713" t="b">
        <v>0</v>
      </c>
      <c r="L713" t="b">
        <v>0</v>
      </c>
      <c r="M713" t="inlineStr">
        <is>
          <t>AVOID</t>
        </is>
      </c>
    </row>
    <row r="714">
      <c r="A714" t="inlineStr">
        <is>
          <t>TOWN</t>
        </is>
      </c>
      <c r="B714" t="inlineStr">
        <is>
          <t>2026-07-30</t>
        </is>
      </c>
      <c r="C714" t="n">
        <v>38.42</v>
      </c>
      <c r="D714" t="n">
        <v>73.63</v>
      </c>
      <c r="E714" t="n">
        <v>0.38</v>
      </c>
      <c r="F714" t="n">
        <v>11.08</v>
      </c>
      <c r="G714" t="n">
        <v>-0.86</v>
      </c>
      <c r="H714" t="n">
        <v>60</v>
      </c>
      <c r="I714" t="n">
        <v>45</v>
      </c>
      <c r="J714" t="n">
        <v>100</v>
      </c>
      <c r="K714" t="b">
        <v>0</v>
      </c>
      <c r="L714" t="b">
        <v>0</v>
      </c>
      <c r="M714" t="inlineStr">
        <is>
          <t>HIGH CONVICTION</t>
        </is>
      </c>
    </row>
    <row r="715">
      <c r="A715" t="inlineStr">
        <is>
          <t>TRIP</t>
        </is>
      </c>
      <c r="B715" t="inlineStr">
        <is>
          <t>2026-07-30</t>
        </is>
      </c>
      <c r="C715" t="n">
        <v>14.21</v>
      </c>
      <c r="D715" t="n">
        <v>52.15</v>
      </c>
      <c r="E715" t="n">
        <v>0.47</v>
      </c>
      <c r="F715" t="n">
        <v>27.67</v>
      </c>
      <c r="G715" t="n">
        <v>-25.76</v>
      </c>
      <c r="H715" t="n">
        <v>60</v>
      </c>
      <c r="I715" t="n">
        <v>85</v>
      </c>
      <c r="J715" t="n">
        <v>80</v>
      </c>
      <c r="K715" t="b">
        <v>0</v>
      </c>
      <c r="L715" t="b">
        <v>0</v>
      </c>
      <c r="M715" t="inlineStr">
        <is>
          <t>AVOID</t>
        </is>
      </c>
    </row>
    <row r="716">
      <c r="A716" t="inlineStr">
        <is>
          <t>TRMB</t>
        </is>
      </c>
      <c r="B716" t="inlineStr">
        <is>
          <t>2026-07-30</t>
        </is>
      </c>
      <c r="C716" t="n">
        <v>56.81</v>
      </c>
      <c r="D716" t="n">
        <v>61.15</v>
      </c>
      <c r="E716" t="n">
        <v>0.47</v>
      </c>
      <c r="F716" t="n">
        <v>-15.61</v>
      </c>
      <c r="G716" t="n">
        <v>-33.31</v>
      </c>
      <c r="H716" t="n">
        <v>35</v>
      </c>
      <c r="I716" t="n">
        <v>45</v>
      </c>
      <c r="J716" t="n">
        <v>35</v>
      </c>
      <c r="K716" t="b">
        <v>0</v>
      </c>
      <c r="L716" t="b">
        <v>0</v>
      </c>
      <c r="M716" t="inlineStr">
        <is>
          <t>AVOID</t>
        </is>
      </c>
    </row>
    <row r="717">
      <c r="A717" t="inlineStr">
        <is>
          <t>TRMK</t>
        </is>
      </c>
      <c r="B717" t="inlineStr">
        <is>
          <t>2026-07-30</t>
        </is>
      </c>
      <c r="C717" t="n">
        <v>47.5</v>
      </c>
      <c r="D717" t="n">
        <v>61.63</v>
      </c>
      <c r="E717" t="n">
        <v>0.55</v>
      </c>
      <c r="F717" t="n">
        <v>7.66</v>
      </c>
      <c r="G717" t="n">
        <v>-0.34</v>
      </c>
      <c r="H717" t="n">
        <v>60</v>
      </c>
      <c r="I717" t="n">
        <v>85</v>
      </c>
      <c r="J717" t="n">
        <v>90</v>
      </c>
      <c r="K717" t="b">
        <v>0</v>
      </c>
      <c r="L717" t="b">
        <v>0</v>
      </c>
      <c r="M717" t="inlineStr">
        <is>
          <t>WATCH</t>
        </is>
      </c>
    </row>
    <row r="718">
      <c r="A718" t="inlineStr">
        <is>
          <t>TROW</t>
        </is>
      </c>
      <c r="B718" t="inlineStr">
        <is>
          <t>2026-07-30</t>
        </is>
      </c>
      <c r="C718" t="n">
        <v>119.75</v>
      </c>
      <c r="D718" t="n">
        <v>52.25</v>
      </c>
      <c r="E718" t="n">
        <v>0.67</v>
      </c>
      <c r="F718" t="n">
        <v>17.79</v>
      </c>
      <c r="G718" t="n">
        <v>-1.59</v>
      </c>
      <c r="H718" t="n">
        <v>60</v>
      </c>
      <c r="I718" t="n">
        <v>85</v>
      </c>
      <c r="J718" t="n">
        <v>100</v>
      </c>
      <c r="K718" t="b">
        <v>0</v>
      </c>
      <c r="L718" t="b">
        <v>0</v>
      </c>
      <c r="M718" t="inlineStr">
        <is>
          <t>HIGH CONVICTION</t>
        </is>
      </c>
    </row>
    <row r="719">
      <c r="A719" t="inlineStr">
        <is>
          <t>TRS</t>
        </is>
      </c>
      <c r="B719" t="inlineStr">
        <is>
          <t>2026-07-30</t>
        </is>
      </c>
      <c r="C719" t="n">
        <v>37.56</v>
      </c>
      <c r="D719" t="n">
        <v>25.42</v>
      </c>
      <c r="E719" t="n">
        <v>1.38</v>
      </c>
      <c r="F719" t="n">
        <v>1.56</v>
      </c>
      <c r="G719" t="n">
        <v>-16.59</v>
      </c>
      <c r="H719" t="n">
        <v>25</v>
      </c>
      <c r="I719" t="n">
        <v>40</v>
      </c>
      <c r="J719" t="n">
        <v>35</v>
      </c>
      <c r="K719" t="b">
        <v>0</v>
      </c>
      <c r="L719" t="b">
        <v>0</v>
      </c>
      <c r="M719" t="inlineStr">
        <is>
          <t>AVOID</t>
        </is>
      </c>
    </row>
    <row r="720">
      <c r="A720" t="inlineStr">
        <is>
          <t>TRUP</t>
        </is>
      </c>
      <c r="B720" t="inlineStr">
        <is>
          <t>2026-07-30</t>
        </is>
      </c>
      <c r="C720" t="n">
        <v>24.37</v>
      </c>
      <c r="D720" t="n">
        <v>43.8</v>
      </c>
      <c r="E720" t="n">
        <v>0.53</v>
      </c>
      <c r="F720" t="n">
        <v>1.58</v>
      </c>
      <c r="G720" t="n">
        <v>-51.89</v>
      </c>
      <c r="H720" t="n">
        <v>20</v>
      </c>
      <c r="I720" t="n">
        <v>20</v>
      </c>
      <c r="J720" t="n">
        <v>20</v>
      </c>
      <c r="K720" t="b">
        <v>0</v>
      </c>
      <c r="L720" t="b">
        <v>0</v>
      </c>
      <c r="M720" t="inlineStr">
        <is>
          <t>AVOID</t>
        </is>
      </c>
    </row>
    <row r="721">
      <c r="A721" t="inlineStr">
        <is>
          <t>TSCO</t>
        </is>
      </c>
      <c r="B721" t="inlineStr">
        <is>
          <t>2026-07-30</t>
        </is>
      </c>
      <c r="C721" t="n">
        <v>29.97</v>
      </c>
      <c r="D721" t="n">
        <v>46.99</v>
      </c>
      <c r="E721" t="n">
        <v>0.46</v>
      </c>
      <c r="F721" t="n">
        <v>-13.92</v>
      </c>
      <c r="G721" t="n">
        <v>-51.35</v>
      </c>
      <c r="H721" t="n">
        <v>0</v>
      </c>
      <c r="I721" t="n">
        <v>40</v>
      </c>
      <c r="J721" t="n">
        <v>0</v>
      </c>
      <c r="K721" t="b">
        <v>0</v>
      </c>
      <c r="L721" t="b">
        <v>0</v>
      </c>
      <c r="M721" t="inlineStr">
        <is>
          <t>AVOID</t>
        </is>
      </c>
    </row>
    <row r="722">
      <c r="A722" t="inlineStr">
        <is>
          <t>TSEM</t>
        </is>
      </c>
      <c r="B722" t="inlineStr">
        <is>
          <t>2026-07-30</t>
        </is>
      </c>
      <c r="C722" t="n">
        <v>212.25</v>
      </c>
      <c r="D722" t="n">
        <v>47.29</v>
      </c>
      <c r="E722" t="n">
        <v>0.64</v>
      </c>
      <c r="F722" t="n">
        <v>-3.98</v>
      </c>
      <c r="G722" t="n">
        <v>-33.01</v>
      </c>
      <c r="H722" t="n">
        <v>25</v>
      </c>
      <c r="I722" t="n">
        <v>50</v>
      </c>
      <c r="J722" t="n">
        <v>25</v>
      </c>
      <c r="K722" t="b">
        <v>0</v>
      </c>
      <c r="L722" t="b">
        <v>0</v>
      </c>
      <c r="M722" t="inlineStr">
        <is>
          <t>AVOID</t>
        </is>
      </c>
    </row>
    <row r="723">
      <c r="A723" t="inlineStr">
        <is>
          <t>TSHA</t>
        </is>
      </c>
      <c r="B723" t="inlineStr">
        <is>
          <t>2026-07-30</t>
        </is>
      </c>
      <c r="C723" t="n">
        <v>5.88</v>
      </c>
      <c r="D723" t="n">
        <v>43.31</v>
      </c>
      <c r="E723" t="n">
        <v>0.44</v>
      </c>
      <c r="F723" t="n">
        <v>-8.06</v>
      </c>
      <c r="G723" t="n">
        <v>-15.83</v>
      </c>
      <c r="H723" t="n">
        <v>25</v>
      </c>
      <c r="I723" t="n">
        <v>40</v>
      </c>
      <c r="J723" t="n">
        <v>25</v>
      </c>
      <c r="K723" t="b">
        <v>0</v>
      </c>
      <c r="L723" t="b">
        <v>0</v>
      </c>
      <c r="M723" t="inlineStr">
        <is>
          <t>AVOID</t>
        </is>
      </c>
    </row>
    <row r="724">
      <c r="A724" t="inlineStr">
        <is>
          <t>TSLA</t>
        </is>
      </c>
      <c r="B724" t="inlineStr">
        <is>
          <t>2026-07-30</t>
        </is>
      </c>
      <c r="C724" t="n">
        <v>309.39</v>
      </c>
      <c r="D724" t="n">
        <v>15.38</v>
      </c>
      <c r="E724" t="n">
        <v>0.68</v>
      </c>
      <c r="F724" t="n">
        <v>-18.93</v>
      </c>
      <c r="G724" t="n">
        <v>-36.84</v>
      </c>
      <c r="H724" t="n">
        <v>0</v>
      </c>
      <c r="I724" t="n">
        <v>0</v>
      </c>
      <c r="J724" t="n">
        <v>0</v>
      </c>
      <c r="K724" t="b">
        <v>0</v>
      </c>
      <c r="L724" t="b">
        <v>0</v>
      </c>
      <c r="M724" t="inlineStr">
        <is>
          <t>AVOID</t>
        </is>
      </c>
    </row>
    <row r="725">
      <c r="A725" t="inlineStr">
        <is>
          <t>TTD</t>
        </is>
      </c>
      <c r="B725" t="inlineStr">
        <is>
          <t>2026-07-30</t>
        </is>
      </c>
      <c r="C725" t="n">
        <v>18.31</v>
      </c>
      <c r="D725" t="n">
        <v>41.64</v>
      </c>
      <c r="E725" t="n">
        <v>0.78</v>
      </c>
      <c r="F725" t="n">
        <v>-22.38</v>
      </c>
      <c r="G725" t="n">
        <v>-79.59999999999999</v>
      </c>
      <c r="H725" t="n">
        <v>0</v>
      </c>
      <c r="I725" t="n">
        <v>15</v>
      </c>
      <c r="J725" t="n">
        <v>0</v>
      </c>
      <c r="K725" t="b">
        <v>0</v>
      </c>
      <c r="L725" t="b">
        <v>0</v>
      </c>
      <c r="M725" t="inlineStr">
        <is>
          <t>AVOID</t>
        </is>
      </c>
    </row>
    <row r="726">
      <c r="A726" t="inlineStr">
        <is>
          <t>TTEC</t>
        </is>
      </c>
      <c r="B726" t="inlineStr">
        <is>
          <t>2026-07-30</t>
        </is>
      </c>
      <c r="C726" t="n">
        <v>2.57</v>
      </c>
      <c r="D726" t="n">
        <v>66.79000000000001</v>
      </c>
      <c r="E726" t="n">
        <v>0.59</v>
      </c>
      <c r="F726" t="n">
        <v>-11.86</v>
      </c>
      <c r="G726" t="n">
        <v>-48.49</v>
      </c>
      <c r="H726" t="n">
        <v>25</v>
      </c>
      <c r="I726" t="n">
        <v>20</v>
      </c>
      <c r="J726" t="n">
        <v>25</v>
      </c>
      <c r="K726" t="b">
        <v>0</v>
      </c>
      <c r="L726" t="b">
        <v>0</v>
      </c>
      <c r="M726" t="inlineStr">
        <is>
          <t>AVOID</t>
        </is>
      </c>
    </row>
    <row r="727">
      <c r="A727" t="inlineStr">
        <is>
          <t>TTEK</t>
        </is>
      </c>
      <c r="B727" t="inlineStr">
        <is>
          <t>2026-07-30</t>
        </is>
      </c>
      <c r="C727" t="n">
        <v>32.72</v>
      </c>
      <c r="D727" t="n">
        <v>61.05</v>
      </c>
      <c r="E727" t="n">
        <v>1.42</v>
      </c>
      <c r="F727" t="n">
        <v>1.51</v>
      </c>
      <c r="G727" t="n">
        <v>-22.88</v>
      </c>
      <c r="H727" t="n">
        <v>50</v>
      </c>
      <c r="I727" t="n">
        <v>85</v>
      </c>
      <c r="J727" t="n">
        <v>60</v>
      </c>
      <c r="K727" t="b">
        <v>0</v>
      </c>
      <c r="L727" t="b">
        <v>0</v>
      </c>
      <c r="M727" t="inlineStr">
        <is>
          <t>AVOID</t>
        </is>
      </c>
    </row>
    <row r="728">
      <c r="A728" t="inlineStr">
        <is>
          <t>TTGT</t>
        </is>
      </c>
      <c r="B728" t="inlineStr">
        <is>
          <t>2026-07-30</t>
        </is>
      </c>
      <c r="C728" t="n">
        <v>4.42</v>
      </c>
      <c r="D728" t="n">
        <v>64.52</v>
      </c>
      <c r="E728" t="n">
        <v>0.82</v>
      </c>
      <c r="F728" t="n">
        <v>-23</v>
      </c>
      <c r="G728" t="n">
        <v>-40.35</v>
      </c>
      <c r="H728" t="n">
        <v>25</v>
      </c>
      <c r="I728" t="n">
        <v>45</v>
      </c>
      <c r="J728" t="n">
        <v>25</v>
      </c>
      <c r="K728" t="b">
        <v>0</v>
      </c>
      <c r="L728" t="b">
        <v>0</v>
      </c>
      <c r="M728" t="inlineStr">
        <is>
          <t>AVOID</t>
        </is>
      </c>
    </row>
    <row r="729">
      <c r="A729" t="inlineStr">
        <is>
          <t>TTMI</t>
        </is>
      </c>
      <c r="B729" t="inlineStr">
        <is>
          <t>2026-07-30</t>
        </is>
      </c>
      <c r="C729" t="n">
        <v>116.17</v>
      </c>
      <c r="D729" t="n">
        <v>35.9</v>
      </c>
      <c r="E729" t="n">
        <v>0.93</v>
      </c>
      <c r="F729" t="n">
        <v>-26.58</v>
      </c>
      <c r="G729" t="n">
        <v>-47.55</v>
      </c>
      <c r="H729" t="n">
        <v>25</v>
      </c>
      <c r="I729" t="n">
        <v>25</v>
      </c>
      <c r="J729" t="n">
        <v>25</v>
      </c>
      <c r="K729" t="b">
        <v>0</v>
      </c>
      <c r="L729" t="b">
        <v>0</v>
      </c>
      <c r="M729" t="inlineStr">
        <is>
          <t>AVOID</t>
        </is>
      </c>
    </row>
    <row r="730">
      <c r="A730" t="inlineStr">
        <is>
          <t>TTWO</t>
        </is>
      </c>
      <c r="B730" t="inlineStr">
        <is>
          <t>2026-07-30</t>
        </is>
      </c>
      <c r="C730" t="n">
        <v>245.35</v>
      </c>
      <c r="D730" t="n">
        <v>52.05</v>
      </c>
      <c r="E730" t="n">
        <v>0.79</v>
      </c>
      <c r="F730" t="n">
        <v>14.78</v>
      </c>
      <c r="G730" t="n">
        <v>-6.46</v>
      </c>
      <c r="H730" t="n">
        <v>60</v>
      </c>
      <c r="I730" t="n">
        <v>85</v>
      </c>
      <c r="J730" t="n">
        <v>80</v>
      </c>
      <c r="K730" t="b">
        <v>0</v>
      </c>
      <c r="L730" t="b">
        <v>0</v>
      </c>
      <c r="M730" t="inlineStr">
        <is>
          <t>AVOID</t>
        </is>
      </c>
    </row>
    <row r="731">
      <c r="A731" t="inlineStr">
        <is>
          <t>TVTX</t>
        </is>
      </c>
      <c r="B731" t="inlineStr">
        <is>
          <t>2026-07-30</t>
        </is>
      </c>
      <c r="C731" t="n">
        <v>56.83</v>
      </c>
      <c r="D731" t="n">
        <v>51.08</v>
      </c>
      <c r="E731" t="n">
        <v>0.46</v>
      </c>
      <c r="F731" t="n">
        <v>34.92</v>
      </c>
      <c r="G731" t="n">
        <v>-3.73</v>
      </c>
      <c r="H731" t="n">
        <v>60</v>
      </c>
      <c r="I731" t="n">
        <v>85</v>
      </c>
      <c r="J731" t="n">
        <v>100</v>
      </c>
      <c r="K731" t="b">
        <v>0</v>
      </c>
      <c r="L731" t="b">
        <v>0</v>
      </c>
      <c r="M731" t="inlineStr">
        <is>
          <t>HIGH CONVICTION</t>
        </is>
      </c>
    </row>
    <row r="732">
      <c r="A732" t="inlineStr">
        <is>
          <t>TW</t>
        </is>
      </c>
      <c r="B732" t="inlineStr">
        <is>
          <t>2026-07-30</t>
        </is>
      </c>
      <c r="C732" t="n">
        <v>97.29000000000001</v>
      </c>
      <c r="D732" t="n">
        <v>49.12</v>
      </c>
      <c r="E732" t="n">
        <v>3.23</v>
      </c>
      <c r="F732" t="n">
        <v>-13.97</v>
      </c>
      <c r="G732" t="n">
        <v>-33.11</v>
      </c>
      <c r="H732" t="n">
        <v>10</v>
      </c>
      <c r="I732" t="n">
        <v>40</v>
      </c>
      <c r="J732" t="n">
        <v>40</v>
      </c>
      <c r="K732" t="b">
        <v>0</v>
      </c>
      <c r="L732" t="b">
        <v>0</v>
      </c>
      <c r="M732" t="inlineStr">
        <is>
          <t>AVOID</t>
        </is>
      </c>
    </row>
    <row r="733">
      <c r="A733" t="inlineStr">
        <is>
          <t>TWST</t>
        </is>
      </c>
      <c r="B733" t="inlineStr">
        <is>
          <t>2026-07-30</t>
        </is>
      </c>
      <c r="C733" t="n">
        <v>90.45</v>
      </c>
      <c r="D733" t="n">
        <v>49.77</v>
      </c>
      <c r="E733" t="n">
        <v>0.78</v>
      </c>
      <c r="F733" t="n">
        <v>54.75</v>
      </c>
      <c r="G733" t="n">
        <v>-12.08</v>
      </c>
      <c r="H733" t="n">
        <v>45</v>
      </c>
      <c r="I733" t="n">
        <v>85</v>
      </c>
      <c r="J733" t="n">
        <v>85</v>
      </c>
      <c r="K733" t="b">
        <v>0</v>
      </c>
      <c r="L733" t="b">
        <v>0</v>
      </c>
      <c r="M733" t="inlineStr">
        <is>
          <t>WATCH</t>
        </is>
      </c>
    </row>
    <row r="734">
      <c r="A734" t="inlineStr">
        <is>
          <t>TXG</t>
        </is>
      </c>
      <c r="B734" t="inlineStr">
        <is>
          <t>2026-07-30</t>
        </is>
      </c>
      <c r="C734" t="n">
        <v>48.93</v>
      </c>
      <c r="D734" t="n">
        <v>66.06</v>
      </c>
      <c r="E734" t="n">
        <v>0.5</v>
      </c>
      <c r="F734" t="n">
        <v>121.9</v>
      </c>
      <c r="G734" t="n">
        <v>0</v>
      </c>
      <c r="H734" t="n">
        <v>60</v>
      </c>
      <c r="I734" t="n">
        <v>45</v>
      </c>
      <c r="J734" t="n">
        <v>100</v>
      </c>
      <c r="K734" t="b">
        <v>1</v>
      </c>
      <c r="L734" t="b">
        <v>0</v>
      </c>
      <c r="M734" t="inlineStr">
        <is>
          <t>ELITE LEADER</t>
        </is>
      </c>
    </row>
    <row r="735">
      <c r="A735" t="inlineStr">
        <is>
          <t>TXN</t>
        </is>
      </c>
      <c r="B735" t="inlineStr">
        <is>
          <t>2026-07-30</t>
        </is>
      </c>
      <c r="C735" t="n">
        <v>279.53</v>
      </c>
      <c r="D735" t="n">
        <v>30.69</v>
      </c>
      <c r="E735" t="n">
        <v>0.5600000000000001</v>
      </c>
      <c r="F735" t="n">
        <v>-0.05</v>
      </c>
      <c r="G735" t="n">
        <v>-15.88</v>
      </c>
      <c r="H735" t="n">
        <v>25</v>
      </c>
      <c r="I735" t="n">
        <v>25</v>
      </c>
      <c r="J735" t="n">
        <v>25</v>
      </c>
      <c r="K735" t="b">
        <v>0</v>
      </c>
      <c r="L735" t="b">
        <v>0</v>
      </c>
      <c r="M735" t="inlineStr">
        <is>
          <t>AVOID</t>
        </is>
      </c>
    </row>
    <row r="736">
      <c r="A736" t="inlineStr">
        <is>
          <t>TXRH</t>
        </is>
      </c>
      <c r="B736" t="inlineStr">
        <is>
          <t>2026-07-30</t>
        </is>
      </c>
      <c r="C736" t="n">
        <v>206.97</v>
      </c>
      <c r="D736" t="n">
        <v>71.25</v>
      </c>
      <c r="E736" t="n">
        <v>0.55</v>
      </c>
      <c r="F736" t="n">
        <v>29.11</v>
      </c>
      <c r="G736" t="n">
        <v>-1.05</v>
      </c>
      <c r="H736" t="n">
        <v>60</v>
      </c>
      <c r="I736" t="n">
        <v>45</v>
      </c>
      <c r="J736" t="n">
        <v>100</v>
      </c>
      <c r="K736" t="b">
        <v>0</v>
      </c>
      <c r="L736" t="b">
        <v>0</v>
      </c>
      <c r="M736" t="inlineStr">
        <is>
          <t>HIGH CONVICTION</t>
        </is>
      </c>
    </row>
    <row r="737">
      <c r="A737" t="inlineStr">
        <is>
          <t>UAL</t>
        </is>
      </c>
      <c r="B737" t="inlineStr">
        <is>
          <t>2026-07-30</t>
        </is>
      </c>
      <c r="C737" t="n">
        <v>124.1</v>
      </c>
      <c r="D737" t="n">
        <v>47.2</v>
      </c>
      <c r="E737" t="n">
        <v>0.37</v>
      </c>
      <c r="F737" t="n">
        <v>37.89</v>
      </c>
      <c r="G737" t="n">
        <v>-8.82</v>
      </c>
      <c r="H737" t="n">
        <v>55</v>
      </c>
      <c r="I737" t="n">
        <v>85</v>
      </c>
      <c r="J737" t="n">
        <v>95</v>
      </c>
      <c r="K737" t="b">
        <v>0</v>
      </c>
      <c r="L737" t="b">
        <v>0</v>
      </c>
      <c r="M737" t="inlineStr">
        <is>
          <t>HIGH CONVICTION</t>
        </is>
      </c>
    </row>
    <row r="738">
      <c r="A738" t="inlineStr">
        <is>
          <t>UBSI</t>
        </is>
      </c>
      <c r="B738" t="inlineStr">
        <is>
          <t>2026-07-30</t>
        </is>
      </c>
      <c r="C738" t="n">
        <v>48.57</v>
      </c>
      <c r="D738" t="n">
        <v>70.5</v>
      </c>
      <c r="E738" t="n">
        <v>0.41</v>
      </c>
      <c r="F738" t="n">
        <v>11.81</v>
      </c>
      <c r="G738" t="n">
        <v>-0.88</v>
      </c>
      <c r="H738" t="n">
        <v>60</v>
      </c>
      <c r="I738" t="n">
        <v>45</v>
      </c>
      <c r="J738" t="n">
        <v>100</v>
      </c>
      <c r="K738" t="b">
        <v>0</v>
      </c>
      <c r="L738" t="b">
        <v>0</v>
      </c>
      <c r="M738" t="inlineStr">
        <is>
          <t>HIGH CONVICTION</t>
        </is>
      </c>
    </row>
    <row r="739">
      <c r="A739" t="inlineStr">
        <is>
          <t>UCTT</t>
        </is>
      </c>
      <c r="B739" t="inlineStr">
        <is>
          <t>2026-07-30</t>
        </is>
      </c>
      <c r="C739" t="n">
        <v>82.53</v>
      </c>
      <c r="D739" t="n">
        <v>36.43</v>
      </c>
      <c r="E739" t="n">
        <v>0.73</v>
      </c>
      <c r="F739" t="n">
        <v>5.6</v>
      </c>
      <c r="G739" t="n">
        <v>-42.12</v>
      </c>
      <c r="H739" t="n">
        <v>25</v>
      </c>
      <c r="I739" t="n">
        <v>25</v>
      </c>
      <c r="J739" t="n">
        <v>25</v>
      </c>
      <c r="K739" t="b">
        <v>0</v>
      </c>
      <c r="L739" t="b">
        <v>0</v>
      </c>
      <c r="M739" t="inlineStr">
        <is>
          <t>AVOID</t>
        </is>
      </c>
    </row>
    <row r="740">
      <c r="A740" t="inlineStr">
        <is>
          <t>UFPI</t>
        </is>
      </c>
      <c r="B740" t="inlineStr">
        <is>
          <t>2026-07-30</t>
        </is>
      </c>
      <c r="C740" t="n">
        <v>86.33</v>
      </c>
      <c r="D740" t="n">
        <v>53.62</v>
      </c>
      <c r="E740" t="n">
        <v>1</v>
      </c>
      <c r="F740" t="n">
        <v>-3.09</v>
      </c>
      <c r="G740" t="n">
        <v>-24.73</v>
      </c>
      <c r="H740" t="n">
        <v>35</v>
      </c>
      <c r="I740" t="n">
        <v>75</v>
      </c>
      <c r="J740" t="n">
        <v>35</v>
      </c>
      <c r="K740" t="b">
        <v>0</v>
      </c>
      <c r="L740" t="b">
        <v>0</v>
      </c>
      <c r="M740" t="inlineStr">
        <is>
          <t>AVOID</t>
        </is>
      </c>
    </row>
    <row r="741">
      <c r="A741" t="inlineStr">
        <is>
          <t>ULTA</t>
        </is>
      </c>
      <c r="B741" t="inlineStr">
        <is>
          <t>2026-07-30</t>
        </is>
      </c>
      <c r="C741" t="n">
        <v>515.46</v>
      </c>
      <c r="D741" t="n">
        <v>76.03</v>
      </c>
      <c r="E741" t="n">
        <v>0.5600000000000001</v>
      </c>
      <c r="F741" t="n">
        <v>-4.1</v>
      </c>
      <c r="G741" t="n">
        <v>-27.07</v>
      </c>
      <c r="H741" t="n">
        <v>25</v>
      </c>
      <c r="I741" t="n">
        <v>20</v>
      </c>
      <c r="J741" t="n">
        <v>25</v>
      </c>
      <c r="K741" t="b">
        <v>0</v>
      </c>
      <c r="L741" t="b">
        <v>0</v>
      </c>
      <c r="M741" t="inlineStr">
        <is>
          <t>AVOID</t>
        </is>
      </c>
    </row>
    <row r="742">
      <c r="A742" t="inlineStr">
        <is>
          <t>UMBF</t>
        </is>
      </c>
      <c r="B742" t="inlineStr">
        <is>
          <t>2026-07-30</t>
        </is>
      </c>
      <c r="C742" t="n">
        <v>146.06</v>
      </c>
      <c r="D742" t="n">
        <v>52.61</v>
      </c>
      <c r="E742" t="n">
        <v>0.74</v>
      </c>
      <c r="F742" t="n">
        <v>16.14</v>
      </c>
      <c r="G742" t="n">
        <v>-1.49</v>
      </c>
      <c r="H742" t="n">
        <v>60</v>
      </c>
      <c r="I742" t="n">
        <v>85</v>
      </c>
      <c r="J742" t="n">
        <v>100</v>
      </c>
      <c r="K742" t="b">
        <v>0</v>
      </c>
      <c r="L742" t="b">
        <v>0</v>
      </c>
      <c r="M742" t="inlineStr">
        <is>
          <t>HIGH CONVICTION</t>
        </is>
      </c>
    </row>
    <row r="743">
      <c r="A743" t="inlineStr">
        <is>
          <t>UNFI</t>
        </is>
      </c>
      <c r="B743" t="inlineStr">
        <is>
          <t>2026-07-30</t>
        </is>
      </c>
      <c r="C743" t="n">
        <v>49.6</v>
      </c>
      <c r="D743" t="n">
        <v>52.91</v>
      </c>
      <c r="E743" t="n">
        <v>0.58</v>
      </c>
      <c r="F743" t="n">
        <v>-0.84</v>
      </c>
      <c r="G743" t="n">
        <v>-10.66</v>
      </c>
      <c r="H743" t="n">
        <v>40</v>
      </c>
      <c r="I743" t="n">
        <v>65</v>
      </c>
      <c r="J743" t="n">
        <v>40</v>
      </c>
      <c r="K743" t="b">
        <v>0</v>
      </c>
      <c r="L743" t="b">
        <v>0</v>
      </c>
      <c r="M743" t="inlineStr">
        <is>
          <t>AVOID</t>
        </is>
      </c>
    </row>
    <row r="744">
      <c r="A744" t="inlineStr">
        <is>
          <t>UNIT</t>
        </is>
      </c>
      <c r="B744" t="inlineStr">
        <is>
          <t>2026-07-30</t>
        </is>
      </c>
      <c r="C744" t="n">
        <v>9.32</v>
      </c>
      <c r="D744" t="n">
        <v>22.59</v>
      </c>
      <c r="E744" t="n">
        <v>1.63</v>
      </c>
      <c r="F744" t="n">
        <v>-21.17</v>
      </c>
      <c r="G744" t="n">
        <v>-26.86</v>
      </c>
      <c r="H744" t="n">
        <v>25</v>
      </c>
      <c r="I744" t="n">
        <v>40</v>
      </c>
      <c r="J744" t="n">
        <v>45</v>
      </c>
      <c r="K744" t="b">
        <v>0</v>
      </c>
      <c r="L744" t="b">
        <v>0</v>
      </c>
      <c r="M744" t="inlineStr">
        <is>
          <t>AVOID</t>
        </is>
      </c>
    </row>
    <row r="745">
      <c r="A745" t="inlineStr">
        <is>
          <t>UPST</t>
        </is>
      </c>
      <c r="B745" t="inlineStr">
        <is>
          <t>2026-07-30</t>
        </is>
      </c>
      <c r="C745" t="n">
        <v>27.14</v>
      </c>
      <c r="D745" t="n">
        <v>21.66</v>
      </c>
      <c r="E745" t="n">
        <v>0.83</v>
      </c>
      <c r="F745" t="n">
        <v>-14.06</v>
      </c>
      <c r="G745" t="n">
        <v>-67.43000000000001</v>
      </c>
      <c r="H745" t="n">
        <v>0</v>
      </c>
      <c r="I745" t="n">
        <v>0</v>
      </c>
      <c r="J745" t="n">
        <v>0</v>
      </c>
      <c r="K745" t="b">
        <v>0</v>
      </c>
      <c r="L745" t="b">
        <v>0</v>
      </c>
      <c r="M745" t="inlineStr">
        <is>
          <t>AVOID</t>
        </is>
      </c>
    </row>
    <row r="746">
      <c r="A746" t="inlineStr">
        <is>
          <t>UPWK</t>
        </is>
      </c>
      <c r="B746" t="inlineStr">
        <is>
          <t>2026-07-30</t>
        </is>
      </c>
      <c r="C746" t="n">
        <v>9.220000000000001</v>
      </c>
      <c r="D746" t="n">
        <v>54.95</v>
      </c>
      <c r="E746" t="n">
        <v>0.87</v>
      </c>
      <c r="F746" t="n">
        <v>-10.92</v>
      </c>
      <c r="G746" t="n">
        <v>-58.3</v>
      </c>
      <c r="H746" t="n">
        <v>35</v>
      </c>
      <c r="I746" t="n">
        <v>60</v>
      </c>
      <c r="J746" t="n">
        <v>35</v>
      </c>
      <c r="K746" t="b">
        <v>0</v>
      </c>
      <c r="L746" t="b">
        <v>0</v>
      </c>
      <c r="M746" t="inlineStr">
        <is>
          <t>AVOID</t>
        </is>
      </c>
    </row>
    <row r="747">
      <c r="A747" t="inlineStr">
        <is>
          <t>URBN</t>
        </is>
      </c>
      <c r="B747" t="inlineStr">
        <is>
          <t>2026-07-30</t>
        </is>
      </c>
      <c r="C747" t="n">
        <v>75.70999999999999</v>
      </c>
      <c r="D747" t="n">
        <v>65.5</v>
      </c>
      <c r="E747" t="n">
        <v>0.36</v>
      </c>
      <c r="F747" t="n">
        <v>7.63</v>
      </c>
      <c r="G747" t="n">
        <v>-8.449999999999999</v>
      </c>
      <c r="H747" t="n">
        <v>50</v>
      </c>
      <c r="I747" t="n">
        <v>45</v>
      </c>
      <c r="J747" t="n">
        <v>60</v>
      </c>
      <c r="K747" t="b">
        <v>0</v>
      </c>
      <c r="L747" t="b">
        <v>0</v>
      </c>
      <c r="M747" t="inlineStr">
        <is>
          <t>AVOID</t>
        </is>
      </c>
    </row>
    <row r="748">
      <c r="A748" t="inlineStr">
        <is>
          <t>URGN</t>
        </is>
      </c>
      <c r="B748" t="inlineStr">
        <is>
          <t>2026-07-30</t>
        </is>
      </c>
      <c r="C748" t="n">
        <v>41.44</v>
      </c>
      <c r="D748" t="n">
        <v>61.96</v>
      </c>
      <c r="E748" t="n">
        <v>0.32</v>
      </c>
      <c r="F748" t="n">
        <v>73.90000000000001</v>
      </c>
      <c r="G748" t="n">
        <v>-5.34</v>
      </c>
      <c r="H748" t="n">
        <v>60</v>
      </c>
      <c r="I748" t="n">
        <v>70</v>
      </c>
      <c r="J748" t="n">
        <v>100</v>
      </c>
      <c r="K748" t="b">
        <v>0</v>
      </c>
      <c r="L748" t="b">
        <v>0</v>
      </c>
      <c r="M748" t="inlineStr">
        <is>
          <t>HIGH CONVICTION</t>
        </is>
      </c>
    </row>
    <row r="749">
      <c r="A749" t="inlineStr">
        <is>
          <t>UTHR</t>
        </is>
      </c>
      <c r="B749" t="inlineStr">
        <is>
          <t>2026-07-30</t>
        </is>
      </c>
      <c r="C749" t="n">
        <v>525.48</v>
      </c>
      <c r="D749" t="n">
        <v>33.82</v>
      </c>
      <c r="E749" t="n">
        <v>0.53</v>
      </c>
      <c r="F749" t="n">
        <v>-8.029999999999999</v>
      </c>
      <c r="G749" t="n">
        <v>-11.94</v>
      </c>
      <c r="H749" t="n">
        <v>25</v>
      </c>
      <c r="I749" t="n">
        <v>40</v>
      </c>
      <c r="J749" t="n">
        <v>25</v>
      </c>
      <c r="K749" t="b">
        <v>0</v>
      </c>
      <c r="L749" t="b">
        <v>0</v>
      </c>
      <c r="M749" t="inlineStr">
        <is>
          <t>AVOID</t>
        </is>
      </c>
    </row>
    <row r="750">
      <c r="A750" t="inlineStr">
        <is>
          <t>VC</t>
        </is>
      </c>
      <c r="B750" t="inlineStr">
        <is>
          <t>2026-07-30</t>
        </is>
      </c>
      <c r="C750" t="n">
        <v>105.8</v>
      </c>
      <c r="D750" t="n">
        <v>48.42</v>
      </c>
      <c r="E750" t="n">
        <v>0.49</v>
      </c>
      <c r="F750" t="n">
        <v>-4.99</v>
      </c>
      <c r="G750" t="n">
        <v>-17.02</v>
      </c>
      <c r="H750" t="n">
        <v>35</v>
      </c>
      <c r="I750" t="n">
        <v>65</v>
      </c>
      <c r="J750" t="n">
        <v>35</v>
      </c>
      <c r="K750" t="b">
        <v>0</v>
      </c>
      <c r="L750" t="b">
        <v>0</v>
      </c>
      <c r="M750" t="inlineStr">
        <is>
          <t>AVOID</t>
        </is>
      </c>
    </row>
    <row r="751">
      <c r="A751" t="inlineStr">
        <is>
          <t>VCEL</t>
        </is>
      </c>
      <c r="B751" t="inlineStr">
        <is>
          <t>2026-07-30</t>
        </is>
      </c>
      <c r="C751" t="n">
        <v>47.72</v>
      </c>
      <c r="D751" t="n">
        <v>53.36</v>
      </c>
      <c r="E751" t="n">
        <v>1.28</v>
      </c>
      <c r="F751" t="n">
        <v>37.4</v>
      </c>
      <c r="G751" t="n">
        <v>-1.22</v>
      </c>
      <c r="H751" t="n">
        <v>60</v>
      </c>
      <c r="I751" t="n">
        <v>100</v>
      </c>
      <c r="J751" t="n">
        <v>100</v>
      </c>
      <c r="K751" t="b">
        <v>0</v>
      </c>
      <c r="L751" t="b">
        <v>0</v>
      </c>
      <c r="M751" t="inlineStr">
        <is>
          <t>HIGH CONVICTION</t>
        </is>
      </c>
    </row>
    <row r="752">
      <c r="A752" t="inlineStr">
        <is>
          <t>VCTR</t>
        </is>
      </c>
      <c r="B752" t="inlineStr">
        <is>
          <t>2026-07-30</t>
        </is>
      </c>
      <c r="C752" t="n">
        <v>98.93000000000001</v>
      </c>
      <c r="D752" t="n">
        <v>64.95</v>
      </c>
      <c r="E752" t="n">
        <v>0.32</v>
      </c>
      <c r="F752" t="n">
        <v>26.72</v>
      </c>
      <c r="G752" t="n">
        <v>-1.64</v>
      </c>
      <c r="H752" t="n">
        <v>60</v>
      </c>
      <c r="I752" t="n">
        <v>70</v>
      </c>
      <c r="J752" t="n">
        <v>100</v>
      </c>
      <c r="K752" t="b">
        <v>0</v>
      </c>
      <c r="L752" t="b">
        <v>0</v>
      </c>
      <c r="M752" t="inlineStr">
        <is>
          <t>HIGH CONVICTION</t>
        </is>
      </c>
    </row>
    <row r="753">
      <c r="A753" t="inlineStr">
        <is>
          <t>VCYT</t>
        </is>
      </c>
      <c r="B753" t="inlineStr">
        <is>
          <t>2026-07-30</t>
        </is>
      </c>
      <c r="C753" t="n">
        <v>58.69</v>
      </c>
      <c r="D753" t="n">
        <v>55.46</v>
      </c>
      <c r="E753" t="n">
        <v>1.09</v>
      </c>
      <c r="F753" t="n">
        <v>78.3</v>
      </c>
      <c r="G753" t="n">
        <v>-2.97</v>
      </c>
      <c r="H753" t="n">
        <v>60</v>
      </c>
      <c r="I753" t="n">
        <v>100</v>
      </c>
      <c r="J753" t="n">
        <v>100</v>
      </c>
      <c r="K753" t="b">
        <v>1</v>
      </c>
      <c r="L753" t="b">
        <v>0</v>
      </c>
      <c r="M753" t="inlineStr">
        <is>
          <t>ELITE LEADER</t>
        </is>
      </c>
    </row>
    <row r="754">
      <c r="A754" t="inlineStr">
        <is>
          <t>VECO</t>
        </is>
      </c>
      <c r="B754" t="inlineStr">
        <is>
          <t>2026-07-30</t>
        </is>
      </c>
      <c r="C754" t="n">
        <v>48.39</v>
      </c>
      <c r="D754" t="n">
        <v>36.47</v>
      </c>
      <c r="E754" t="n">
        <v>0.44</v>
      </c>
      <c r="F754" t="n">
        <v>-2.93</v>
      </c>
      <c r="G754" t="n">
        <v>-41.73</v>
      </c>
      <c r="H754" t="n">
        <v>25</v>
      </c>
      <c r="I754" t="n">
        <v>25</v>
      </c>
      <c r="J754" t="n">
        <v>25</v>
      </c>
      <c r="K754" t="b">
        <v>0</v>
      </c>
      <c r="L754" t="b">
        <v>0</v>
      </c>
      <c r="M754" t="inlineStr">
        <is>
          <t>AVOID</t>
        </is>
      </c>
    </row>
    <row r="755">
      <c r="A755" t="inlineStr">
        <is>
          <t>VERI</t>
        </is>
      </c>
      <c r="B755" t="inlineStr">
        <is>
          <t>2026-07-30</t>
        </is>
      </c>
      <c r="C755" t="n">
        <v>1.05</v>
      </c>
      <c r="D755" t="n">
        <v>37.78</v>
      </c>
      <c r="E755" t="n">
        <v>0.84</v>
      </c>
      <c r="F755" t="n">
        <v>-48.78</v>
      </c>
      <c r="G755" t="n">
        <v>-87.48999999999999</v>
      </c>
      <c r="H755" t="n">
        <v>0</v>
      </c>
      <c r="I755" t="n">
        <v>0</v>
      </c>
      <c r="J755" t="n">
        <v>0</v>
      </c>
      <c r="K755" t="b">
        <v>0</v>
      </c>
      <c r="L755" t="b">
        <v>0</v>
      </c>
      <c r="M755" t="inlineStr">
        <is>
          <t>AVOID</t>
        </is>
      </c>
    </row>
    <row r="756">
      <c r="A756" t="inlineStr">
        <is>
          <t>VERX</t>
        </is>
      </c>
      <c r="B756" t="inlineStr">
        <is>
          <t>2026-07-30</t>
        </is>
      </c>
      <c r="C756" t="n">
        <v>12.62</v>
      </c>
      <c r="D756" t="n">
        <v>51.63</v>
      </c>
      <c r="E756" t="n">
        <v>0.89</v>
      </c>
      <c r="F756" t="n">
        <v>2.02</v>
      </c>
      <c r="G756" t="n">
        <v>-62.83</v>
      </c>
      <c r="H756" t="n">
        <v>35</v>
      </c>
      <c r="I756" t="n">
        <v>60</v>
      </c>
      <c r="J756" t="n">
        <v>35</v>
      </c>
      <c r="K756" t="b">
        <v>0</v>
      </c>
      <c r="L756" t="b">
        <v>0</v>
      </c>
      <c r="M756" t="inlineStr">
        <is>
          <t>AVOID</t>
        </is>
      </c>
    </row>
    <row r="757">
      <c r="A757" t="inlineStr">
        <is>
          <t>VFF</t>
        </is>
      </c>
      <c r="B757" t="inlineStr">
        <is>
          <t>2026-07-30</t>
        </is>
      </c>
      <c r="C757" t="n">
        <v>2</v>
      </c>
      <c r="D757" t="n">
        <v>46.02</v>
      </c>
      <c r="E757" t="n">
        <v>0.89</v>
      </c>
      <c r="F757" t="n">
        <v>-30</v>
      </c>
      <c r="G757" t="n">
        <v>-52.27</v>
      </c>
      <c r="H757" t="n">
        <v>10</v>
      </c>
      <c r="I757" t="n">
        <v>40</v>
      </c>
      <c r="J757" t="n">
        <v>10</v>
      </c>
      <c r="K757" t="b">
        <v>0</v>
      </c>
      <c r="L757" t="b">
        <v>0</v>
      </c>
      <c r="M757" t="inlineStr">
        <is>
          <t>AVOID</t>
        </is>
      </c>
    </row>
    <row r="758">
      <c r="A758" t="inlineStr">
        <is>
          <t>VG</t>
        </is>
      </c>
      <c r="B758" t="inlineStr">
        <is>
          <t>2026-07-30</t>
        </is>
      </c>
      <c r="C758" t="n">
        <v>13.12</v>
      </c>
      <c r="D758" t="n">
        <v>55.08</v>
      </c>
      <c r="E758" t="n">
        <v>0.38</v>
      </c>
      <c r="F758" t="n">
        <v>-0.96</v>
      </c>
      <c r="G758" t="n">
        <v>-25.03</v>
      </c>
      <c r="H758" t="n">
        <v>60</v>
      </c>
      <c r="I758" t="n">
        <v>85</v>
      </c>
      <c r="J758" t="n">
        <v>60</v>
      </c>
      <c r="K758" t="b">
        <v>0</v>
      </c>
      <c r="L758" t="b">
        <v>0</v>
      </c>
      <c r="M758" t="inlineStr">
        <is>
          <t>AVOID</t>
        </is>
      </c>
    </row>
    <row r="759">
      <c r="A759" t="inlineStr">
        <is>
          <t>VIAV</t>
        </is>
      </c>
      <c r="B759" t="inlineStr">
        <is>
          <t>2026-07-30</t>
        </is>
      </c>
      <c r="C759" t="n">
        <v>35.12</v>
      </c>
      <c r="D759" t="n">
        <v>35.67</v>
      </c>
      <c r="E759" t="n">
        <v>0.83</v>
      </c>
      <c r="F759" t="n">
        <v>-32.98</v>
      </c>
      <c r="G759" t="n">
        <v>-36.53</v>
      </c>
      <c r="H759" t="n">
        <v>25</v>
      </c>
      <c r="I759" t="n">
        <v>25</v>
      </c>
      <c r="J759" t="n">
        <v>25</v>
      </c>
      <c r="K759" t="b">
        <v>0</v>
      </c>
      <c r="L759" t="b">
        <v>0</v>
      </c>
      <c r="M759" t="inlineStr">
        <is>
          <t>AVOID</t>
        </is>
      </c>
    </row>
    <row r="760">
      <c r="A760" t="inlineStr">
        <is>
          <t>VICR</t>
        </is>
      </c>
      <c r="B760" t="inlineStr">
        <is>
          <t>2026-07-30</t>
        </is>
      </c>
      <c r="C760" t="n">
        <v>206</v>
      </c>
      <c r="D760" t="n">
        <v>32.15</v>
      </c>
      <c r="E760" t="n">
        <v>0.8</v>
      </c>
      <c r="F760" t="n">
        <v>-23.5</v>
      </c>
      <c r="G760" t="n">
        <v>-45.76</v>
      </c>
      <c r="H760" t="n">
        <v>25</v>
      </c>
      <c r="I760" t="n">
        <v>25</v>
      </c>
      <c r="J760" t="n">
        <v>25</v>
      </c>
      <c r="K760" t="b">
        <v>0</v>
      </c>
      <c r="L760" t="b">
        <v>0</v>
      </c>
      <c r="M760" t="inlineStr">
        <is>
          <t>AVOID</t>
        </is>
      </c>
    </row>
    <row r="761">
      <c r="A761" t="inlineStr">
        <is>
          <t>VIR</t>
        </is>
      </c>
      <c r="B761" t="inlineStr">
        <is>
          <t>2026-07-30</t>
        </is>
      </c>
      <c r="C761" t="n">
        <v>8.92</v>
      </c>
      <c r="D761" t="n">
        <v>30</v>
      </c>
      <c r="E761" t="n">
        <v>0.4</v>
      </c>
      <c r="F761" t="n">
        <v>-12.68</v>
      </c>
      <c r="G761" t="n">
        <v>-19.57</v>
      </c>
      <c r="H761" t="n">
        <v>35</v>
      </c>
      <c r="I761" t="n">
        <v>25</v>
      </c>
      <c r="J761" t="n">
        <v>35</v>
      </c>
      <c r="K761" t="b">
        <v>0</v>
      </c>
      <c r="L761" t="b">
        <v>0</v>
      </c>
      <c r="M761" t="inlineStr">
        <is>
          <t>AVOID</t>
        </is>
      </c>
    </row>
    <row r="762">
      <c r="A762" t="inlineStr">
        <is>
          <t>VIRT</t>
        </is>
      </c>
      <c r="B762" t="inlineStr">
        <is>
          <t>2026-07-30</t>
        </is>
      </c>
      <c r="C762" t="n">
        <v>58.42</v>
      </c>
      <c r="D762" t="n">
        <v>30.01</v>
      </c>
      <c r="E762" t="n">
        <v>0.64</v>
      </c>
      <c r="F762" t="n">
        <v>18.21</v>
      </c>
      <c r="G762" t="n">
        <v>-12.57</v>
      </c>
      <c r="H762" t="n">
        <v>45</v>
      </c>
      <c r="I762" t="n">
        <v>45</v>
      </c>
      <c r="J762" t="n">
        <v>55</v>
      </c>
      <c r="K762" t="b">
        <v>0</v>
      </c>
      <c r="L762" t="b">
        <v>0</v>
      </c>
      <c r="M762" t="inlineStr">
        <is>
          <t>AVOID</t>
        </is>
      </c>
    </row>
    <row r="763">
      <c r="A763" t="inlineStr">
        <is>
          <t>VITL</t>
        </is>
      </c>
      <c r="B763" t="inlineStr">
        <is>
          <t>2026-07-30</t>
        </is>
      </c>
      <c r="C763" t="n">
        <v>12.71</v>
      </c>
      <c r="D763" t="n">
        <v>47.69</v>
      </c>
      <c r="E763" t="n">
        <v>0.45</v>
      </c>
      <c r="F763" t="n">
        <v>-6.89</v>
      </c>
      <c r="G763" t="n">
        <v>-75.75</v>
      </c>
      <c r="H763" t="n">
        <v>20</v>
      </c>
      <c r="I763" t="n">
        <v>45</v>
      </c>
      <c r="J763" t="n">
        <v>20</v>
      </c>
      <c r="K763" t="b">
        <v>0</v>
      </c>
      <c r="L763" t="b">
        <v>0</v>
      </c>
      <c r="M763" t="inlineStr">
        <is>
          <t>AVOID</t>
        </is>
      </c>
    </row>
    <row r="764">
      <c r="A764" t="inlineStr">
        <is>
          <t>VIVO</t>
        </is>
      </c>
      <c r="B764" t="inlineStr">
        <is>
          <t>2026-07-30</t>
        </is>
      </c>
      <c r="C764" t="n">
        <v>3.65</v>
      </c>
      <c r="D764" t="n">
        <v>31.1</v>
      </c>
      <c r="E764" t="n">
        <v>0.73</v>
      </c>
      <c r="F764" t="n">
        <v>9.94</v>
      </c>
      <c r="G764" t="n">
        <v>-44.7</v>
      </c>
      <c r="H764" t="n">
        <v>25</v>
      </c>
      <c r="I764" t="n">
        <v>25</v>
      </c>
      <c r="J764" t="n">
        <v>25</v>
      </c>
      <c r="K764" t="b">
        <v>0</v>
      </c>
      <c r="L764" t="b">
        <v>0</v>
      </c>
      <c r="M764" t="inlineStr">
        <is>
          <t>AVOID</t>
        </is>
      </c>
    </row>
    <row r="765">
      <c r="A765" t="inlineStr">
        <is>
          <t>VLY</t>
        </is>
      </c>
      <c r="B765" t="inlineStr">
        <is>
          <t>2026-07-30</t>
        </is>
      </c>
      <c r="C765" t="n">
        <v>14.36</v>
      </c>
      <c r="D765" t="n">
        <v>43.14</v>
      </c>
      <c r="E765" t="n">
        <v>0.37</v>
      </c>
      <c r="F765" t="n">
        <v>6.62</v>
      </c>
      <c r="G765" t="n">
        <v>-5.46</v>
      </c>
      <c r="H765" t="n">
        <v>45</v>
      </c>
      <c r="I765" t="n">
        <v>60</v>
      </c>
      <c r="J765" t="n">
        <v>55</v>
      </c>
      <c r="K765" t="b">
        <v>0</v>
      </c>
      <c r="L765" t="b">
        <v>0</v>
      </c>
      <c r="M765" t="inlineStr">
        <is>
          <t>AVOID</t>
        </is>
      </c>
    </row>
    <row r="766">
      <c r="A766" t="inlineStr">
        <is>
          <t>VNDA</t>
        </is>
      </c>
      <c r="B766" t="inlineStr">
        <is>
          <t>2026-07-30</t>
        </is>
      </c>
      <c r="C766" t="n">
        <v>5.11</v>
      </c>
      <c r="D766" t="n">
        <v>16.17</v>
      </c>
      <c r="E766" t="n">
        <v>0.58</v>
      </c>
      <c r="F766" t="n">
        <v>-28.03</v>
      </c>
      <c r="G766" t="n">
        <v>-46.55</v>
      </c>
      <c r="H766" t="n">
        <v>0</v>
      </c>
      <c r="I766" t="n">
        <v>0</v>
      </c>
      <c r="J766" t="n">
        <v>0</v>
      </c>
      <c r="K766" t="b">
        <v>0</v>
      </c>
      <c r="L766" t="b">
        <v>0</v>
      </c>
      <c r="M766" t="inlineStr">
        <is>
          <t>AVOID</t>
        </is>
      </c>
    </row>
    <row r="767">
      <c r="A767" t="inlineStr">
        <is>
          <t>VNET</t>
        </is>
      </c>
      <c r="B767" t="inlineStr">
        <is>
          <t>2026-07-30</t>
        </is>
      </c>
      <c r="C767" t="n">
        <v>7.43</v>
      </c>
      <c r="D767" t="n">
        <v>42.89</v>
      </c>
      <c r="E767" t="n">
        <v>1.1</v>
      </c>
      <c r="F767" t="n">
        <v>-10.53</v>
      </c>
      <c r="G767" t="n">
        <v>-47.01</v>
      </c>
      <c r="H767" t="n">
        <v>0</v>
      </c>
      <c r="I767" t="n">
        <v>30</v>
      </c>
      <c r="J767" t="n">
        <v>0</v>
      </c>
      <c r="K767" t="b">
        <v>0</v>
      </c>
      <c r="L767" t="b">
        <v>0</v>
      </c>
      <c r="M767" t="inlineStr">
        <is>
          <t>AVOID</t>
        </is>
      </c>
    </row>
    <row r="768">
      <c r="A768" t="inlineStr">
        <is>
          <t>VNOM</t>
        </is>
      </c>
      <c r="B768" t="inlineStr">
        <is>
          <t>2026-07-30</t>
        </is>
      </c>
      <c r="C768" t="n">
        <v>43.24</v>
      </c>
      <c r="D768" t="n">
        <v>57.44</v>
      </c>
      <c r="E768" t="n">
        <v>0.5</v>
      </c>
      <c r="F768" t="n">
        <v>-11.19</v>
      </c>
      <c r="G768" t="n">
        <v>-13.92</v>
      </c>
      <c r="H768" t="n">
        <v>40</v>
      </c>
      <c r="I768" t="n">
        <v>65</v>
      </c>
      <c r="J768" t="n">
        <v>40</v>
      </c>
      <c r="K768" t="b">
        <v>0</v>
      </c>
      <c r="L768" t="b">
        <v>0</v>
      </c>
      <c r="M768" t="inlineStr">
        <is>
          <t>AVOID</t>
        </is>
      </c>
    </row>
    <row r="769">
      <c r="A769" t="inlineStr">
        <is>
          <t>VOD</t>
        </is>
      </c>
      <c r="B769" t="inlineStr">
        <is>
          <t>2026-07-30</t>
        </is>
      </c>
      <c r="C769" t="n">
        <v>16.1</v>
      </c>
      <c r="D769" t="n">
        <v>65.14</v>
      </c>
      <c r="E769" t="n">
        <v>0.61</v>
      </c>
      <c r="F769" t="n">
        <v>3.84</v>
      </c>
      <c r="G769" t="n">
        <v>-1.74</v>
      </c>
      <c r="H769" t="n">
        <v>60</v>
      </c>
      <c r="I769" t="n">
        <v>45</v>
      </c>
      <c r="J769" t="n">
        <v>90</v>
      </c>
      <c r="K769" t="b">
        <v>0</v>
      </c>
      <c r="L769" t="b">
        <v>0</v>
      </c>
      <c r="M769" t="inlineStr">
        <is>
          <t>WATCH</t>
        </is>
      </c>
    </row>
    <row r="770">
      <c r="A770" t="inlineStr">
        <is>
          <t>VREX</t>
        </is>
      </c>
      <c r="B770" t="inlineStr">
        <is>
          <t>2026-07-30</t>
        </is>
      </c>
      <c r="C770" t="n">
        <v>10.97</v>
      </c>
      <c r="D770" t="n">
        <v>47.83</v>
      </c>
      <c r="E770" t="n">
        <v>0.35</v>
      </c>
      <c r="F770" t="n">
        <v>-5.84</v>
      </c>
      <c r="G770" t="n">
        <v>-23.61</v>
      </c>
      <c r="H770" t="n">
        <v>30</v>
      </c>
      <c r="I770" t="n">
        <v>60</v>
      </c>
      <c r="J770" t="n">
        <v>30</v>
      </c>
      <c r="K770" t="b">
        <v>0</v>
      </c>
      <c r="L770" t="b">
        <v>0</v>
      </c>
      <c r="M770" t="inlineStr">
        <is>
          <t>AVOID</t>
        </is>
      </c>
    </row>
    <row r="771">
      <c r="A771" t="inlineStr">
        <is>
          <t>VRNS</t>
        </is>
      </c>
      <c r="B771" t="inlineStr">
        <is>
          <t>2026-07-30</t>
        </is>
      </c>
      <c r="C771" t="n">
        <v>39.62</v>
      </c>
      <c r="D771" t="n">
        <v>35.65</v>
      </c>
      <c r="E771" t="n">
        <v>0.67</v>
      </c>
      <c r="F771" t="n">
        <v>50.67</v>
      </c>
      <c r="G771" t="n">
        <v>-37.41</v>
      </c>
      <c r="H771" t="n">
        <v>45</v>
      </c>
      <c r="I771" t="n">
        <v>45</v>
      </c>
      <c r="J771" t="n">
        <v>85</v>
      </c>
      <c r="K771" t="b">
        <v>0</v>
      </c>
      <c r="L771" t="b">
        <v>0</v>
      </c>
      <c r="M771" t="inlineStr">
        <is>
          <t>WATCH</t>
        </is>
      </c>
    </row>
    <row r="772">
      <c r="A772" t="inlineStr">
        <is>
          <t>VRRM</t>
        </is>
      </c>
      <c r="B772" t="inlineStr">
        <is>
          <t>2026-07-30</t>
        </is>
      </c>
      <c r="C772" t="n">
        <v>5.07</v>
      </c>
      <c r="D772" t="n">
        <v>69.89</v>
      </c>
      <c r="E772" t="n">
        <v>1.05</v>
      </c>
      <c r="F772" t="n">
        <v>-65.84999999999999</v>
      </c>
      <c r="G772" t="n">
        <v>-80.17</v>
      </c>
      <c r="H772" t="n">
        <v>15</v>
      </c>
      <c r="I772" t="n">
        <v>15</v>
      </c>
      <c r="J772" t="n">
        <v>15</v>
      </c>
      <c r="K772" t="b">
        <v>0</v>
      </c>
      <c r="L772" t="b">
        <v>0</v>
      </c>
      <c r="M772" t="inlineStr">
        <is>
          <t>AVOID</t>
        </is>
      </c>
    </row>
    <row r="773">
      <c r="A773" t="inlineStr">
        <is>
          <t>VRSK</t>
        </is>
      </c>
      <c r="B773" t="inlineStr">
        <is>
          <t>2026-07-30</t>
        </is>
      </c>
      <c r="C773" t="n">
        <v>200.37</v>
      </c>
      <c r="D773" t="n">
        <v>61.09</v>
      </c>
      <c r="E773" t="n">
        <v>0.8100000000000001</v>
      </c>
      <c r="F773" t="n">
        <v>8.9</v>
      </c>
      <c r="G773" t="n">
        <v>-27.45</v>
      </c>
      <c r="H773" t="n">
        <v>50</v>
      </c>
      <c r="I773" t="n">
        <v>85</v>
      </c>
      <c r="J773" t="n">
        <v>50</v>
      </c>
      <c r="K773" t="b">
        <v>0</v>
      </c>
      <c r="L773" t="b">
        <v>0</v>
      </c>
      <c r="M773" t="inlineStr">
        <is>
          <t>AVOID</t>
        </is>
      </c>
    </row>
    <row r="774">
      <c r="A774" t="inlineStr">
        <is>
          <t>VRSN</t>
        </is>
      </c>
      <c r="B774" t="inlineStr">
        <is>
          <t>2026-07-30</t>
        </is>
      </c>
      <c r="C774" t="n">
        <v>286.73</v>
      </c>
      <c r="D774" t="n">
        <v>61.8</v>
      </c>
      <c r="E774" t="n">
        <v>0.53</v>
      </c>
      <c r="F774" t="n">
        <v>7.01</v>
      </c>
      <c r="G774" t="n">
        <v>-7.51</v>
      </c>
      <c r="H774" t="n">
        <v>50</v>
      </c>
      <c r="I774" t="n">
        <v>70</v>
      </c>
      <c r="J774" t="n">
        <v>60</v>
      </c>
      <c r="K774" t="b">
        <v>0</v>
      </c>
      <c r="L774" t="b">
        <v>0</v>
      </c>
      <c r="M774" t="inlineStr">
        <is>
          <t>AVOID</t>
        </is>
      </c>
    </row>
    <row r="775">
      <c r="A775" t="inlineStr">
        <is>
          <t>VRTX</t>
        </is>
      </c>
      <c r="B775" t="inlineStr">
        <is>
          <t>2026-07-30</t>
        </is>
      </c>
      <c r="C775" t="n">
        <v>479.53</v>
      </c>
      <c r="D775" t="n">
        <v>45.42</v>
      </c>
      <c r="E775" t="n">
        <v>0.41</v>
      </c>
      <c r="F775" t="n">
        <v>12.2</v>
      </c>
      <c r="G775" t="n">
        <v>-9.449999999999999</v>
      </c>
      <c r="H775" t="n">
        <v>45</v>
      </c>
      <c r="I775" t="n">
        <v>85</v>
      </c>
      <c r="J775" t="n">
        <v>65</v>
      </c>
      <c r="K775" t="b">
        <v>0</v>
      </c>
      <c r="L775" t="b">
        <v>0</v>
      </c>
      <c r="M775" t="inlineStr">
        <is>
          <t>AVOID</t>
        </is>
      </c>
    </row>
    <row r="776">
      <c r="A776" t="inlineStr">
        <is>
          <t>VSAT</t>
        </is>
      </c>
      <c r="B776" t="inlineStr">
        <is>
          <t>2026-07-30</t>
        </is>
      </c>
      <c r="C776" t="n">
        <v>77.68000000000001</v>
      </c>
      <c r="D776" t="n">
        <v>56.01</v>
      </c>
      <c r="E776" t="n">
        <v>0.71</v>
      </c>
      <c r="F776" t="n">
        <v>17.85</v>
      </c>
      <c r="G776" t="n">
        <v>-13.51</v>
      </c>
      <c r="H776" t="n">
        <v>60</v>
      </c>
      <c r="I776" t="n">
        <v>70</v>
      </c>
      <c r="J776" t="n">
        <v>70</v>
      </c>
      <c r="K776" t="b">
        <v>0</v>
      </c>
      <c r="L776" t="b">
        <v>0</v>
      </c>
      <c r="M776" t="inlineStr">
        <is>
          <t>AVOID</t>
        </is>
      </c>
    </row>
    <row r="777">
      <c r="A777" t="inlineStr">
        <is>
          <t>VSEC</t>
        </is>
      </c>
      <c r="B777" t="inlineStr">
        <is>
          <t>2026-07-30</t>
        </is>
      </c>
      <c r="C777" t="n">
        <v>189.33</v>
      </c>
      <c r="D777" t="n">
        <v>34.01</v>
      </c>
      <c r="E777" t="n">
        <v>0.34</v>
      </c>
      <c r="F777" t="n">
        <v>10.33</v>
      </c>
      <c r="G777" t="n">
        <v>-20.41</v>
      </c>
      <c r="H777" t="n">
        <v>20</v>
      </c>
      <c r="I777" t="n">
        <v>0</v>
      </c>
      <c r="J777" t="n">
        <v>30</v>
      </c>
      <c r="K777" t="b">
        <v>0</v>
      </c>
      <c r="L777" t="b">
        <v>0</v>
      </c>
      <c r="M777" t="inlineStr">
        <is>
          <t>AVOID</t>
        </is>
      </c>
    </row>
    <row r="778">
      <c r="A778" t="inlineStr">
        <is>
          <t>VTRS</t>
        </is>
      </c>
      <c r="B778" t="inlineStr">
        <is>
          <t>2026-07-30</t>
        </is>
      </c>
      <c r="C778" t="n">
        <v>17.71</v>
      </c>
      <c r="D778" t="n">
        <v>68.84999999999999</v>
      </c>
      <c r="E778" t="n">
        <v>0.34</v>
      </c>
      <c r="F778" t="n">
        <v>19.41</v>
      </c>
      <c r="G778" t="n">
        <v>-0.84</v>
      </c>
      <c r="H778" t="n">
        <v>60</v>
      </c>
      <c r="I778" t="n">
        <v>45</v>
      </c>
      <c r="J778" t="n">
        <v>100</v>
      </c>
      <c r="K778" t="b">
        <v>0</v>
      </c>
      <c r="L778" t="b">
        <v>0</v>
      </c>
      <c r="M778" t="inlineStr">
        <is>
          <t>HIGH CONVICTION</t>
        </is>
      </c>
    </row>
    <row r="779">
      <c r="A779" t="inlineStr">
        <is>
          <t>VUZI</t>
        </is>
      </c>
      <c r="B779" t="inlineStr">
        <is>
          <t>2026-07-30</t>
        </is>
      </c>
      <c r="C779" t="n">
        <v>2.33</v>
      </c>
      <c r="D779" t="n">
        <v>42.98</v>
      </c>
      <c r="E779" t="n">
        <v>0.7</v>
      </c>
      <c r="F779" t="n">
        <v>-19.1</v>
      </c>
      <c r="G779" t="n">
        <v>-54.67</v>
      </c>
      <c r="H779" t="n">
        <v>10</v>
      </c>
      <c r="I779" t="n">
        <v>15</v>
      </c>
      <c r="J779" t="n">
        <v>10</v>
      </c>
      <c r="K779" t="b">
        <v>0</v>
      </c>
      <c r="L779" t="b">
        <v>0</v>
      </c>
      <c r="M779" t="inlineStr">
        <is>
          <t>AVOID</t>
        </is>
      </c>
    </row>
    <row r="780">
      <c r="A780" t="inlineStr">
        <is>
          <t>WAFD</t>
        </is>
      </c>
      <c r="B780" t="inlineStr">
        <is>
          <t>2026-07-30</t>
        </is>
      </c>
      <c r="C780" t="n">
        <v>36.56</v>
      </c>
      <c r="D780" t="n">
        <v>35.19</v>
      </c>
      <c r="E780" t="n">
        <v>0.41</v>
      </c>
      <c r="F780" t="n">
        <v>4.07</v>
      </c>
      <c r="G780" t="n">
        <v>-7.02</v>
      </c>
      <c r="H780" t="n">
        <v>35</v>
      </c>
      <c r="I780" t="n">
        <v>40</v>
      </c>
      <c r="J780" t="n">
        <v>45</v>
      </c>
      <c r="K780" t="b">
        <v>0</v>
      </c>
      <c r="L780" t="b">
        <v>0</v>
      </c>
      <c r="M780" t="inlineStr">
        <is>
          <t>AVOID</t>
        </is>
      </c>
    </row>
    <row r="781">
      <c r="A781" t="inlineStr">
        <is>
          <t>WB</t>
        </is>
      </c>
      <c r="B781" t="inlineStr">
        <is>
          <t>2026-07-30</t>
        </is>
      </c>
      <c r="C781" t="n">
        <v>8.109999999999999</v>
      </c>
      <c r="D781" t="n">
        <v>65.59999999999999</v>
      </c>
      <c r="E781" t="n">
        <v>0.74</v>
      </c>
      <c r="F781" t="n">
        <v>-3.57</v>
      </c>
      <c r="G781" t="n">
        <v>-32.34</v>
      </c>
      <c r="H781" t="n">
        <v>35</v>
      </c>
      <c r="I781" t="n">
        <v>20</v>
      </c>
      <c r="J781" t="n">
        <v>35</v>
      </c>
      <c r="K781" t="b">
        <v>0</v>
      </c>
      <c r="L781" t="b">
        <v>0</v>
      </c>
      <c r="M781" t="inlineStr">
        <is>
          <t>AVOID</t>
        </is>
      </c>
    </row>
    <row r="782">
      <c r="A782" t="inlineStr">
        <is>
          <t>WDAY</t>
        </is>
      </c>
      <c r="B782" t="inlineStr">
        <is>
          <t>2026-07-30</t>
        </is>
      </c>
      <c r="C782" t="n">
        <v>157.36</v>
      </c>
      <c r="D782" t="n">
        <v>60.25</v>
      </c>
      <c r="E782" t="n">
        <v>1.1</v>
      </c>
      <c r="F782" t="n">
        <v>28.56</v>
      </c>
      <c r="G782" t="n">
        <v>-36.47</v>
      </c>
      <c r="H782" t="n">
        <v>35</v>
      </c>
      <c r="I782" t="n">
        <v>60</v>
      </c>
      <c r="J782" t="n">
        <v>55</v>
      </c>
      <c r="K782" t="b">
        <v>0</v>
      </c>
      <c r="L782" t="b">
        <v>0</v>
      </c>
      <c r="M782" t="inlineStr">
        <is>
          <t>AVOID</t>
        </is>
      </c>
    </row>
    <row r="783">
      <c r="A783" t="inlineStr">
        <is>
          <t>WDC</t>
        </is>
      </c>
      <c r="B783" t="inlineStr">
        <is>
          <t>2026-07-30</t>
        </is>
      </c>
      <c r="C783" t="n">
        <v>533.73</v>
      </c>
      <c r="D783" t="n">
        <v>43.75</v>
      </c>
      <c r="E783" t="n">
        <v>0.93</v>
      </c>
      <c r="F783" t="n">
        <v>22.87</v>
      </c>
      <c r="G783" t="n">
        <v>-28.48</v>
      </c>
      <c r="H783" t="n">
        <v>35</v>
      </c>
      <c r="I783" t="n">
        <v>40</v>
      </c>
      <c r="J783" t="n">
        <v>55</v>
      </c>
      <c r="K783" t="b">
        <v>0</v>
      </c>
      <c r="L783" t="b">
        <v>0</v>
      </c>
      <c r="M783" t="inlineStr">
        <is>
          <t>AVOID</t>
        </is>
      </c>
    </row>
    <row r="784">
      <c r="A784" t="inlineStr">
        <is>
          <t>WEN</t>
        </is>
      </c>
      <c r="B784" t="inlineStr">
        <is>
          <t>2026-07-30</t>
        </is>
      </c>
      <c r="C784" t="n">
        <v>7.45</v>
      </c>
      <c r="D784" t="n">
        <v>47.87</v>
      </c>
      <c r="E784" t="n">
        <v>0.31</v>
      </c>
      <c r="F784" t="n">
        <v>8.949999999999999</v>
      </c>
      <c r="G784" t="n">
        <v>-25.48</v>
      </c>
      <c r="H784" t="n">
        <v>20</v>
      </c>
      <c r="I784" t="n">
        <v>60</v>
      </c>
      <c r="J784" t="n">
        <v>20</v>
      </c>
      <c r="K784" t="b">
        <v>0</v>
      </c>
      <c r="L784" t="b">
        <v>0</v>
      </c>
      <c r="M784" t="inlineStr">
        <is>
          <t>AVOID</t>
        </is>
      </c>
    </row>
    <row r="785">
      <c r="A785" t="inlineStr">
        <is>
          <t>WERN</t>
        </is>
      </c>
      <c r="B785" t="inlineStr">
        <is>
          <t>2026-07-30</t>
        </is>
      </c>
      <c r="C785" t="n">
        <v>37.01</v>
      </c>
      <c r="D785" t="n">
        <v>29.67</v>
      </c>
      <c r="E785" t="n">
        <v>0.92</v>
      </c>
      <c r="F785" t="n">
        <v>0.71</v>
      </c>
      <c r="G785" t="n">
        <v>-21.74</v>
      </c>
      <c r="H785" t="n">
        <v>35</v>
      </c>
      <c r="I785" t="n">
        <v>25</v>
      </c>
      <c r="J785" t="n">
        <v>35</v>
      </c>
      <c r="K785" t="b">
        <v>0</v>
      </c>
      <c r="L785" t="b">
        <v>0</v>
      </c>
      <c r="M785" t="inlineStr">
        <is>
          <t>AVOID</t>
        </is>
      </c>
    </row>
    <row r="786">
      <c r="A786" t="inlineStr">
        <is>
          <t>WING</t>
        </is>
      </c>
      <c r="B786" t="inlineStr">
        <is>
          <t>2026-07-30</t>
        </is>
      </c>
      <c r="C786" t="n">
        <v>132.92</v>
      </c>
      <c r="D786" t="n">
        <v>27.35</v>
      </c>
      <c r="E786" t="n">
        <v>1.13</v>
      </c>
      <c r="F786" t="n">
        <v>-18.78</v>
      </c>
      <c r="G786" t="n">
        <v>-64.56</v>
      </c>
      <c r="H786" t="n">
        <v>0</v>
      </c>
      <c r="I786" t="n">
        <v>15</v>
      </c>
      <c r="J786" t="n">
        <v>0</v>
      </c>
      <c r="K786" t="b">
        <v>0</v>
      </c>
      <c r="L786" t="b">
        <v>0</v>
      </c>
      <c r="M786" t="inlineStr">
        <is>
          <t>AVOID</t>
        </is>
      </c>
    </row>
    <row r="787">
      <c r="A787" t="inlineStr">
        <is>
          <t>WIX</t>
        </is>
      </c>
      <c r="B787" t="inlineStr">
        <is>
          <t>2026-07-30</t>
        </is>
      </c>
      <c r="C787" t="n">
        <v>56.24</v>
      </c>
      <c r="D787" t="n">
        <v>60.51</v>
      </c>
      <c r="E787" t="n">
        <v>0.98</v>
      </c>
      <c r="F787" t="n">
        <v>-24.7</v>
      </c>
      <c r="G787" t="n">
        <v>-69.47</v>
      </c>
      <c r="H787" t="n">
        <v>35</v>
      </c>
      <c r="I787" t="n">
        <v>45</v>
      </c>
      <c r="J787" t="n">
        <v>35</v>
      </c>
      <c r="K787" t="b">
        <v>0</v>
      </c>
      <c r="L787" t="b">
        <v>0</v>
      </c>
      <c r="M787" t="inlineStr">
        <is>
          <t>AVOID</t>
        </is>
      </c>
    </row>
    <row r="788">
      <c r="A788" t="inlineStr">
        <is>
          <t>WMG</t>
        </is>
      </c>
      <c r="B788" t="inlineStr">
        <is>
          <t>2026-07-30</t>
        </is>
      </c>
      <c r="C788" t="n">
        <v>27.53</v>
      </c>
      <c r="D788" t="n">
        <v>41.62</v>
      </c>
      <c r="E788" t="n">
        <v>1.22</v>
      </c>
      <c r="F788" t="n">
        <v>-2.07</v>
      </c>
      <c r="G788" t="n">
        <v>-20.33</v>
      </c>
      <c r="H788" t="n">
        <v>10</v>
      </c>
      <c r="I788" t="n">
        <v>30</v>
      </c>
      <c r="J788" t="n">
        <v>20</v>
      </c>
      <c r="K788" t="b">
        <v>0</v>
      </c>
      <c r="L788" t="b">
        <v>0</v>
      </c>
      <c r="M788" t="inlineStr">
        <is>
          <t>AVOID</t>
        </is>
      </c>
    </row>
    <row r="789">
      <c r="A789" t="inlineStr">
        <is>
          <t>WOOF</t>
        </is>
      </c>
      <c r="B789" t="inlineStr">
        <is>
          <t>2026-07-30</t>
        </is>
      </c>
      <c r="C789" t="n">
        <v>2.75</v>
      </c>
      <c r="D789" t="n">
        <v>61.18</v>
      </c>
      <c r="E789" t="n">
        <v>0.67</v>
      </c>
      <c r="F789" t="n">
        <v>-3.17</v>
      </c>
      <c r="G789" t="n">
        <v>-31.08</v>
      </c>
      <c r="H789" t="n">
        <v>25</v>
      </c>
      <c r="I789" t="n">
        <v>45</v>
      </c>
      <c r="J789" t="n">
        <v>25</v>
      </c>
      <c r="K789" t="b">
        <v>0</v>
      </c>
      <c r="L789" t="b">
        <v>0</v>
      </c>
      <c r="M789" t="inlineStr">
        <is>
          <t>AVOID</t>
        </is>
      </c>
    </row>
    <row r="790">
      <c r="A790" t="inlineStr">
        <is>
          <t>WSBC</t>
        </is>
      </c>
      <c r="B790" t="inlineStr">
        <is>
          <t>2026-07-30</t>
        </is>
      </c>
      <c r="C790" t="n">
        <v>41.8</v>
      </c>
      <c r="D790" t="n">
        <v>69.97</v>
      </c>
      <c r="E790" t="n">
        <v>0.32</v>
      </c>
      <c r="F790" t="n">
        <v>22.93</v>
      </c>
      <c r="G790" t="n">
        <v>-0.5</v>
      </c>
      <c r="H790" t="n">
        <v>60</v>
      </c>
      <c r="I790" t="n">
        <v>45</v>
      </c>
      <c r="J790" t="n">
        <v>100</v>
      </c>
      <c r="K790" t="b">
        <v>0</v>
      </c>
      <c r="L790" t="b">
        <v>0</v>
      </c>
      <c r="M790" t="inlineStr">
        <is>
          <t>HIGH CONVICTION</t>
        </is>
      </c>
    </row>
    <row r="791">
      <c r="A791" t="inlineStr">
        <is>
          <t>WSC</t>
        </is>
      </c>
      <c r="B791" t="inlineStr">
        <is>
          <t>2026-07-30</t>
        </is>
      </c>
      <c r="C791" t="n">
        <v>24.21</v>
      </c>
      <c r="D791" t="n">
        <v>35.94</v>
      </c>
      <c r="E791" t="n">
        <v>0.63</v>
      </c>
      <c r="F791" t="n">
        <v>7.23</v>
      </c>
      <c r="G791" t="n">
        <v>-18.55</v>
      </c>
      <c r="H791" t="n">
        <v>25</v>
      </c>
      <c r="I791" t="n">
        <v>25</v>
      </c>
      <c r="J791" t="n">
        <v>25</v>
      </c>
      <c r="K791" t="b">
        <v>0</v>
      </c>
      <c r="L791" t="b">
        <v>0</v>
      </c>
      <c r="M791" t="inlineStr">
        <is>
          <t>AVOID</t>
        </is>
      </c>
    </row>
    <row r="792">
      <c r="A792" t="inlineStr">
        <is>
          <t>WSFS</t>
        </is>
      </c>
      <c r="B792" t="inlineStr">
        <is>
          <t>2026-07-30</t>
        </is>
      </c>
      <c r="C792" t="n">
        <v>80.19</v>
      </c>
      <c r="D792" t="n">
        <v>63.08</v>
      </c>
      <c r="E792" t="n">
        <v>0.29</v>
      </c>
      <c r="F792" t="n">
        <v>11.73</v>
      </c>
      <c r="G792" t="n">
        <v>-1.97</v>
      </c>
      <c r="H792" t="n">
        <v>60</v>
      </c>
      <c r="I792" t="n">
        <v>85</v>
      </c>
      <c r="J792" t="n">
        <v>100</v>
      </c>
      <c r="K792" t="b">
        <v>0</v>
      </c>
      <c r="L792" t="b">
        <v>0</v>
      </c>
      <c r="M792" t="inlineStr">
        <is>
          <t>HIGH CONVICTION</t>
        </is>
      </c>
    </row>
    <row r="793">
      <c r="A793" t="inlineStr">
        <is>
          <t>WTFC</t>
        </is>
      </c>
      <c r="B793" t="inlineStr">
        <is>
          <t>2026-07-30</t>
        </is>
      </c>
      <c r="C793" t="n">
        <v>159.48</v>
      </c>
      <c r="D793" t="n">
        <v>44.9</v>
      </c>
      <c r="E793" t="n">
        <v>0.4</v>
      </c>
      <c r="F793" t="n">
        <v>6.32</v>
      </c>
      <c r="G793" t="n">
        <v>-4.45</v>
      </c>
      <c r="H793" t="n">
        <v>45</v>
      </c>
      <c r="I793" t="n">
        <v>60</v>
      </c>
      <c r="J793" t="n">
        <v>65</v>
      </c>
      <c r="K793" t="b">
        <v>0</v>
      </c>
      <c r="L793" t="b">
        <v>0</v>
      </c>
      <c r="M793" t="inlineStr">
        <is>
          <t>AVOID</t>
        </is>
      </c>
    </row>
    <row r="794">
      <c r="A794" t="inlineStr">
        <is>
          <t>WWD</t>
        </is>
      </c>
      <c r="B794" t="inlineStr">
        <is>
          <t>2026-07-30</t>
        </is>
      </c>
      <c r="C794" t="n">
        <v>355.21</v>
      </c>
      <c r="D794" t="n">
        <v>29.34</v>
      </c>
      <c r="E794" t="n">
        <v>2.34</v>
      </c>
      <c r="F794" t="n">
        <v>-2.06</v>
      </c>
      <c r="G794" t="n">
        <v>-18.61</v>
      </c>
      <c r="H794" t="n">
        <v>35</v>
      </c>
      <c r="I794" t="n">
        <v>40</v>
      </c>
      <c r="J794" t="n">
        <v>65</v>
      </c>
      <c r="K794" t="b">
        <v>0</v>
      </c>
      <c r="L794" t="b">
        <v>0</v>
      </c>
      <c r="M794" t="inlineStr">
        <is>
          <t>AVOID</t>
        </is>
      </c>
    </row>
    <row r="795">
      <c r="A795" t="inlineStr">
        <is>
          <t>WYNN</t>
        </is>
      </c>
      <c r="B795" t="inlineStr">
        <is>
          <t>2026-07-30</t>
        </is>
      </c>
      <c r="C795" t="n">
        <v>100.81</v>
      </c>
      <c r="D795" t="n">
        <v>52.95</v>
      </c>
      <c r="E795" t="n">
        <v>0.6</v>
      </c>
      <c r="F795" t="n">
        <v>-5.63</v>
      </c>
      <c r="G795" t="n">
        <v>-23.89</v>
      </c>
      <c r="H795" t="n">
        <v>25</v>
      </c>
      <c r="I795" t="n">
        <v>45</v>
      </c>
      <c r="J795" t="n">
        <v>25</v>
      </c>
      <c r="K795" t="b">
        <v>0</v>
      </c>
      <c r="L795" t="b">
        <v>0</v>
      </c>
      <c r="M795" t="inlineStr">
        <is>
          <t>AVOID</t>
        </is>
      </c>
    </row>
    <row r="796">
      <c r="A796" t="inlineStr">
        <is>
          <t>XEL</t>
        </is>
      </c>
      <c r="B796" t="inlineStr">
        <is>
          <t>2026-07-30</t>
        </is>
      </c>
      <c r="C796" t="n">
        <v>78.69</v>
      </c>
      <c r="D796" t="n">
        <v>42.92</v>
      </c>
      <c r="E796" t="n">
        <v>0.9399999999999999</v>
      </c>
      <c r="F796" t="n">
        <v>-4.42</v>
      </c>
      <c r="G796" t="n">
        <v>-4.82</v>
      </c>
      <c r="H796" t="n">
        <v>35</v>
      </c>
      <c r="I796" t="n">
        <v>40</v>
      </c>
      <c r="J796" t="n">
        <v>55</v>
      </c>
      <c r="K796" t="b">
        <v>0</v>
      </c>
      <c r="L796" t="b">
        <v>0</v>
      </c>
      <c r="M796" t="inlineStr">
        <is>
          <t>AVOID</t>
        </is>
      </c>
    </row>
    <row r="797">
      <c r="A797" t="inlineStr">
        <is>
          <t>XENE</t>
        </is>
      </c>
      <c r="B797" t="inlineStr">
        <is>
          <t>2026-07-30</t>
        </is>
      </c>
      <c r="C797" t="n">
        <v>63.94</v>
      </c>
      <c r="D797" t="n">
        <v>29.52</v>
      </c>
      <c r="E797" t="n">
        <v>0.21</v>
      </c>
      <c r="F797" t="n">
        <v>14.1</v>
      </c>
      <c r="G797" t="n">
        <v>-9.890000000000001</v>
      </c>
      <c r="H797" t="n">
        <v>45</v>
      </c>
      <c r="I797" t="n">
        <v>45</v>
      </c>
      <c r="J797" t="n">
        <v>65</v>
      </c>
      <c r="K797" t="b">
        <v>0</v>
      </c>
      <c r="L797" t="b">
        <v>0</v>
      </c>
      <c r="M797" t="inlineStr">
        <is>
          <t>AVOID</t>
        </is>
      </c>
    </row>
    <row r="798">
      <c r="A798" t="inlineStr">
        <is>
          <t>XNCR</t>
        </is>
      </c>
      <c r="B798" t="inlineStr">
        <is>
          <t>2026-07-30</t>
        </is>
      </c>
      <c r="C798" t="n">
        <v>21.41</v>
      </c>
      <c r="D798" t="n">
        <v>76.83</v>
      </c>
      <c r="E798" t="n">
        <v>0.89</v>
      </c>
      <c r="F798" t="n">
        <v>79.45999999999999</v>
      </c>
      <c r="G798" t="n">
        <v>0</v>
      </c>
      <c r="H798" t="n">
        <v>60</v>
      </c>
      <c r="I798" t="n">
        <v>45</v>
      </c>
      <c r="J798" t="n">
        <v>100</v>
      </c>
      <c r="K798" t="b">
        <v>1</v>
      </c>
      <c r="L798" t="b">
        <v>0</v>
      </c>
      <c r="M798" t="inlineStr">
        <is>
          <t>ELITE LEADER</t>
        </is>
      </c>
    </row>
    <row r="799">
      <c r="A799" t="inlineStr">
        <is>
          <t>XP</t>
        </is>
      </c>
      <c r="B799" t="inlineStr">
        <is>
          <t>2026-07-30</t>
        </is>
      </c>
      <c r="C799" t="n">
        <v>17.17</v>
      </c>
      <c r="D799" t="n">
        <v>53.22</v>
      </c>
      <c r="E799" t="n">
        <v>0.33</v>
      </c>
      <c r="F799" t="n">
        <v>-9.199999999999999</v>
      </c>
      <c r="G799" t="n">
        <v>-24.19</v>
      </c>
      <c r="H799" t="n">
        <v>35</v>
      </c>
      <c r="I799" t="n">
        <v>45</v>
      </c>
      <c r="J799" t="n">
        <v>35</v>
      </c>
      <c r="K799" t="b">
        <v>0</v>
      </c>
      <c r="L799" t="b">
        <v>0</v>
      </c>
      <c r="M799" t="inlineStr">
        <is>
          <t>AVOID</t>
        </is>
      </c>
    </row>
    <row r="800">
      <c r="A800" t="inlineStr">
        <is>
          <t>XPER</t>
        </is>
      </c>
      <c r="B800" t="inlineStr">
        <is>
          <t>2026-07-30</t>
        </is>
      </c>
      <c r="C800" t="n">
        <v>7.57</v>
      </c>
      <c r="D800" t="n">
        <v>42.66</v>
      </c>
      <c r="E800" t="n">
        <v>0.53</v>
      </c>
      <c r="F800" t="n">
        <v>13.23</v>
      </c>
      <c r="G800" t="n">
        <v>-12.33</v>
      </c>
      <c r="H800" t="n">
        <v>25</v>
      </c>
      <c r="I800" t="n">
        <v>40</v>
      </c>
      <c r="J800" t="n">
        <v>35</v>
      </c>
      <c r="K800" t="b">
        <v>0</v>
      </c>
      <c r="L800" t="b">
        <v>0</v>
      </c>
      <c r="M800" t="inlineStr">
        <is>
          <t>AVOID</t>
        </is>
      </c>
    </row>
    <row r="801">
      <c r="A801" t="inlineStr">
        <is>
          <t>XRAY</t>
        </is>
      </c>
      <c r="B801" t="inlineStr">
        <is>
          <t>2026-07-30</t>
        </is>
      </c>
      <c r="C801" t="n">
        <v>13.73</v>
      </c>
      <c r="D801" t="n">
        <v>63.16</v>
      </c>
      <c r="E801" t="n">
        <v>0.48</v>
      </c>
      <c r="F801" t="n">
        <v>16.89</v>
      </c>
      <c r="G801" t="n">
        <v>-8.75</v>
      </c>
      <c r="H801" t="n">
        <v>50</v>
      </c>
      <c r="I801" t="n">
        <v>70</v>
      </c>
      <c r="J801" t="n">
        <v>70</v>
      </c>
      <c r="K801" t="b">
        <v>0</v>
      </c>
      <c r="L801" t="b">
        <v>0</v>
      </c>
      <c r="M801" t="inlineStr">
        <is>
          <t>AVOID</t>
        </is>
      </c>
    </row>
    <row r="802">
      <c r="A802" t="inlineStr">
        <is>
          <t>Z</t>
        </is>
      </c>
      <c r="B802" t="inlineStr">
        <is>
          <t>2026-07-30</t>
        </is>
      </c>
      <c r="C802" t="n">
        <v>33.1</v>
      </c>
      <c r="D802" t="n">
        <v>53.68</v>
      </c>
      <c r="E802" t="n">
        <v>0.58</v>
      </c>
      <c r="F802" t="n">
        <v>-25.45</v>
      </c>
      <c r="G802" t="n">
        <v>-63.35</v>
      </c>
      <c r="H802" t="n">
        <v>15</v>
      </c>
      <c r="I802" t="n">
        <v>40</v>
      </c>
      <c r="J802" t="n">
        <v>15</v>
      </c>
      <c r="K802" t="b">
        <v>0</v>
      </c>
      <c r="L802" t="b">
        <v>0</v>
      </c>
      <c r="M802" t="inlineStr">
        <is>
          <t>AVOID</t>
        </is>
      </c>
    </row>
    <row r="803">
      <c r="A803" t="inlineStr">
        <is>
          <t>ZBRA</t>
        </is>
      </c>
      <c r="B803" t="inlineStr">
        <is>
          <t>2026-07-30</t>
        </is>
      </c>
      <c r="C803" t="n">
        <v>289.27</v>
      </c>
      <c r="D803" t="n">
        <v>61.04</v>
      </c>
      <c r="E803" t="n">
        <v>0.76</v>
      </c>
      <c r="F803" t="n">
        <v>27.85</v>
      </c>
      <c r="G803" t="n">
        <v>-15.26</v>
      </c>
      <c r="H803" t="n">
        <v>60</v>
      </c>
      <c r="I803" t="n">
        <v>70</v>
      </c>
      <c r="J803" t="n">
        <v>80</v>
      </c>
      <c r="K803" t="b">
        <v>0</v>
      </c>
      <c r="L803" t="b">
        <v>0</v>
      </c>
      <c r="M803" t="inlineStr">
        <is>
          <t>AVOID</t>
        </is>
      </c>
    </row>
    <row r="804">
      <c r="A804" t="inlineStr">
        <is>
          <t>ZG</t>
        </is>
      </c>
      <c r="B804" t="inlineStr">
        <is>
          <t>2026-07-30</t>
        </is>
      </c>
      <c r="C804" t="n">
        <v>33.35</v>
      </c>
      <c r="D804" t="n">
        <v>55.38</v>
      </c>
      <c r="E804" t="n">
        <v>1.09</v>
      </c>
      <c r="F804" t="n">
        <v>-25.24</v>
      </c>
      <c r="G804" t="n">
        <v>-61.56</v>
      </c>
      <c r="H804" t="n">
        <v>15</v>
      </c>
      <c r="I804" t="n">
        <v>55</v>
      </c>
      <c r="J804" t="n">
        <v>15</v>
      </c>
      <c r="K804" t="b">
        <v>0</v>
      </c>
      <c r="L804" t="b">
        <v>0</v>
      </c>
      <c r="M804" t="inlineStr">
        <is>
          <t>AVOID</t>
        </is>
      </c>
    </row>
    <row r="805">
      <c r="A805" t="inlineStr">
        <is>
          <t>ZION</t>
        </is>
      </c>
      <c r="B805" t="inlineStr">
        <is>
          <t>2026-07-30</t>
        </is>
      </c>
      <c r="C805" t="n">
        <v>69.58</v>
      </c>
      <c r="D805" t="n">
        <v>45.74</v>
      </c>
      <c r="E805" t="n">
        <v>0.42</v>
      </c>
      <c r="F805" t="n">
        <v>10.56</v>
      </c>
      <c r="G805" t="n">
        <v>-5.08</v>
      </c>
      <c r="H805" t="n">
        <v>45</v>
      </c>
      <c r="I805" t="n">
        <v>85</v>
      </c>
      <c r="J805" t="n">
        <v>65</v>
      </c>
      <c r="K805" t="b">
        <v>0</v>
      </c>
      <c r="L805" t="b">
        <v>0</v>
      </c>
      <c r="M805" t="inlineStr">
        <is>
          <t>AVOID</t>
        </is>
      </c>
    </row>
    <row r="806">
      <c r="A806" t="inlineStr">
        <is>
          <t>ZLAB</t>
        </is>
      </c>
      <c r="B806" t="inlineStr">
        <is>
          <t>2026-07-30</t>
        </is>
      </c>
      <c r="C806" t="n">
        <v>18.14</v>
      </c>
      <c r="D806" t="n">
        <v>30.19</v>
      </c>
      <c r="E806" t="n">
        <v>0.22</v>
      </c>
      <c r="F806" t="n">
        <v>-16.17</v>
      </c>
      <c r="G806" t="n">
        <v>-54.09</v>
      </c>
      <c r="H806" t="n">
        <v>10</v>
      </c>
      <c r="I806" t="n">
        <v>0</v>
      </c>
      <c r="J806" t="n">
        <v>10</v>
      </c>
      <c r="K806" t="b">
        <v>0</v>
      </c>
      <c r="L806" t="b">
        <v>0</v>
      </c>
      <c r="M806" t="inlineStr">
        <is>
          <t>AVOID</t>
        </is>
      </c>
    </row>
    <row r="807">
      <c r="A807" t="inlineStr">
        <is>
          <t>ZM</t>
        </is>
      </c>
      <c r="B807" t="inlineStr">
        <is>
          <t>2026-07-30</t>
        </is>
      </c>
      <c r="C807" t="n">
        <v>91.73</v>
      </c>
      <c r="D807" t="n">
        <v>54.4</v>
      </c>
      <c r="E807" t="n">
        <v>0.52</v>
      </c>
      <c r="F807" t="n">
        <v>-5.58</v>
      </c>
      <c r="G807" t="n">
        <v>-18.01</v>
      </c>
      <c r="H807" t="n">
        <v>40</v>
      </c>
      <c r="I807" t="n">
        <v>65</v>
      </c>
      <c r="J807" t="n">
        <v>40</v>
      </c>
      <c r="K807" t="b">
        <v>0</v>
      </c>
      <c r="L807" t="b">
        <v>0</v>
      </c>
      <c r="M807" t="inlineStr">
        <is>
          <t>AVOID</t>
        </is>
      </c>
    </row>
    <row r="808">
      <c r="A808" t="inlineStr">
        <is>
          <t>ZNTL</t>
        </is>
      </c>
      <c r="B808" t="inlineStr">
        <is>
          <t>2026-07-30</t>
        </is>
      </c>
      <c r="C808" t="n">
        <v>4.84</v>
      </c>
      <c r="D808" t="n">
        <v>49.08</v>
      </c>
      <c r="E808" t="n">
        <v>0.5</v>
      </c>
      <c r="F808" t="n">
        <v>20.57</v>
      </c>
      <c r="G808" t="n">
        <v>-26.85</v>
      </c>
      <c r="H808" t="n">
        <v>55</v>
      </c>
      <c r="I808" t="n">
        <v>85</v>
      </c>
      <c r="J808" t="n">
        <v>75</v>
      </c>
      <c r="K808" t="b">
        <v>0</v>
      </c>
      <c r="L808" t="b">
        <v>0</v>
      </c>
      <c r="M808" t="inlineStr">
        <is>
          <t>AVOID</t>
        </is>
      </c>
    </row>
    <row r="809">
      <c r="A809" t="inlineStr">
        <is>
          <t>ZS</t>
        </is>
      </c>
      <c r="B809" t="inlineStr">
        <is>
          <t>2026-07-30</t>
        </is>
      </c>
      <c r="C809" t="n">
        <v>147.57</v>
      </c>
      <c r="D809" t="n">
        <v>57.9</v>
      </c>
      <c r="E809" t="n">
        <v>0.83</v>
      </c>
      <c r="F809" t="n">
        <v>12.92</v>
      </c>
      <c r="G809" t="n">
        <v>-56.12</v>
      </c>
      <c r="H809" t="n">
        <v>35</v>
      </c>
      <c r="I809" t="n">
        <v>60</v>
      </c>
      <c r="J809" t="n">
        <v>45</v>
      </c>
      <c r="K809" t="b">
        <v>0</v>
      </c>
      <c r="L809" t="b">
        <v>0</v>
      </c>
      <c r="M809" t="inlineStr">
        <is>
          <t>AVOID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B8" sqref="B8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SNOW</t>
        </is>
      </c>
    </row>
    <row r="3">
      <c r="A3" t="inlineStr">
        <is>
          <t>DDOG</t>
        </is>
      </c>
    </row>
    <row r="4">
      <c r="A4" t="inlineStr">
        <is>
          <t>FTNT</t>
        </is>
      </c>
    </row>
    <row r="5">
      <c r="A5" t="inlineStr">
        <is>
          <t>NET</t>
        </is>
      </c>
    </row>
    <row r="6">
      <c r="A6" t="inlineStr">
        <is>
          <t>ABBV</t>
        </is>
      </c>
    </row>
    <row r="7">
      <c r="A7" t="inlineStr">
        <is>
          <t>AAPL</t>
        </is>
      </c>
    </row>
    <row r="8">
      <c r="A8" t="inlineStr">
        <is>
          <t>BAC</t>
        </is>
      </c>
    </row>
    <row r="9">
      <c r="A9" t="inlineStr">
        <is>
          <t>JPM</t>
        </is>
      </c>
    </row>
    <row r="10">
      <c r="A10" t="inlineStr">
        <is>
          <t>TGT</t>
        </is>
      </c>
    </row>
    <row r="11">
      <c r="A11" t="inlineStr">
        <is>
          <t>ROST</t>
        </is>
      </c>
    </row>
    <row r="12">
      <c r="A12" t="inlineStr">
        <is>
          <t>SBUX</t>
        </is>
      </c>
    </row>
    <row r="13">
      <c r="A13" t="inlineStr">
        <is>
          <t>PANW</t>
        </is>
      </c>
    </row>
    <row r="14">
      <c r="A14" t="inlineStr">
        <is>
          <t>XLV</t>
        </is>
      </c>
    </row>
    <row r="15">
      <c r="A15" t="inlineStr">
        <is>
          <t>XLF</t>
        </is>
      </c>
    </row>
    <row r="16">
      <c r="A16" t="inlineStr">
        <is>
          <t>OKTA</t>
        </is>
      </c>
    </row>
    <row r="17">
      <c r="A17" t="inlineStr">
        <is>
          <t>CRWD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topLeftCell="D1" workbookViewId="0">
      <selection activeCell="S4" sqref="S4"/>
    </sheetView>
  </sheetViews>
  <sheetFormatPr baseColWidth="8" defaultRowHeight="15"/>
  <cols>
    <col width="9.7109375" bestFit="1" customWidth="1" style="63" min="1" max="1"/>
    <col width="9.7109375" bestFit="1" customWidth="1" style="63" min="11" max="11"/>
    <col width="15" bestFit="1" customWidth="1" style="63" min="15" max="1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Entry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Exit</t>
        </is>
      </c>
      <c r="G1" s="1" t="inlineStr">
        <is>
          <t>P/L</t>
        </is>
      </c>
      <c r="K1" s="35" t="inlineStr">
        <is>
          <t>Date</t>
        </is>
      </c>
      <c r="L1" s="35" t="inlineStr">
        <is>
          <t>Symbol</t>
        </is>
      </c>
      <c r="M1" s="35" t="inlineStr">
        <is>
          <t>Score</t>
        </is>
      </c>
      <c r="N1" s="35" t="inlineStr">
        <is>
          <t>Grade</t>
        </is>
      </c>
      <c r="O1" s="35" t="inlineStr">
        <is>
          <t>Reason Entered</t>
        </is>
      </c>
      <c r="P1" s="35" t="inlineStr">
        <is>
          <t>Entry</t>
        </is>
      </c>
      <c r="Q1" s="35" t="inlineStr">
        <is>
          <t>Stop</t>
        </is>
      </c>
      <c r="R1" s="35" t="inlineStr">
        <is>
          <t>Target</t>
        </is>
      </c>
      <c r="S1" s="35" t="inlineStr">
        <is>
          <t>Exit</t>
        </is>
      </c>
      <c r="T1" s="35" t="inlineStr">
        <is>
          <t>Win/Loss</t>
        </is>
      </c>
    </row>
    <row r="2">
      <c r="K2" s="34" t="n">
        <v>46226</v>
      </c>
      <c r="L2" t="inlineStr">
        <is>
          <t>SNOW</t>
        </is>
      </c>
      <c r="M2" t="n">
        <v>84</v>
      </c>
      <c r="N2" t="inlineStr">
        <is>
          <t>A</t>
        </is>
      </c>
      <c r="O2" t="inlineStr">
        <is>
          <t>Test</t>
        </is>
      </c>
      <c r="P2" t="n">
        <v>263.11</v>
      </c>
      <c r="Q2" t="n">
        <v>243.3</v>
      </c>
      <c r="R2" t="n">
        <v>301.71</v>
      </c>
    </row>
    <row r="3">
      <c r="K3" s="34" t="n">
        <v>46227</v>
      </c>
      <c r="L3" t="inlineStr">
        <is>
          <t>ABBV</t>
        </is>
      </c>
      <c r="M3" t="n">
        <v>81.3</v>
      </c>
      <c r="N3" t="inlineStr">
        <is>
          <t>A</t>
        </is>
      </c>
      <c r="O3" t="inlineStr">
        <is>
          <t>Test</t>
        </is>
      </c>
      <c r="P3" t="n">
        <v>259.32</v>
      </c>
      <c r="Q3" t="n">
        <v>250.86</v>
      </c>
      <c r="R3" t="n">
        <v>276.74</v>
      </c>
    </row>
    <row r="4">
      <c r="K4" s="34" t="n">
        <v>46228</v>
      </c>
      <c r="L4" t="inlineStr">
        <is>
          <t>PH</t>
        </is>
      </c>
      <c r="M4" t="n">
        <v>75.09999999999999</v>
      </c>
      <c r="N4" t="inlineStr">
        <is>
          <t>B</t>
        </is>
      </c>
      <c r="O4" t="inlineStr">
        <is>
          <t>Test</t>
        </is>
      </c>
      <c r="P4" t="n">
        <v>991.8200000000001</v>
      </c>
      <c r="Q4" t="n">
        <v>957.3099999999999</v>
      </c>
      <c r="R4" t="n">
        <v>1060.85</v>
      </c>
    </row>
    <row r="5">
      <c r="O5" t="inlineStr">
        <is>
          <t>Test</t>
        </is>
      </c>
    </row>
    <row r="6">
      <c r="O6" t="inlineStr">
        <is>
          <t>Test</t>
        </is>
      </c>
    </row>
    <row r="7">
      <c r="O7" t="inlineStr">
        <is>
          <t>Test</t>
        </is>
      </c>
    </row>
    <row r="8">
      <c r="O8" t="inlineStr">
        <is>
          <t>Test</t>
        </is>
      </c>
    </row>
    <row r="9">
      <c r="O9" t="inlineStr">
        <is>
          <t>Test</t>
        </is>
      </c>
    </row>
    <row r="10">
      <c r="O10" t="inlineStr">
        <is>
          <t>Test</t>
        </is>
      </c>
    </row>
    <row r="11">
      <c r="O11" t="inlineStr">
        <is>
          <t>Test</t>
        </is>
      </c>
    </row>
    <row r="12">
      <c r="O12" t="inlineStr">
        <is>
          <t>Test</t>
        </is>
      </c>
    </row>
    <row r="13">
      <c r="O13" t="inlineStr">
        <is>
          <t>Test</t>
        </is>
      </c>
    </row>
    <row r="14">
      <c r="O14" t="inlineStr">
        <is>
          <t>Test</t>
        </is>
      </c>
    </row>
    <row r="15">
      <c r="O15" t="inlineStr">
        <is>
          <t>Test</t>
        </is>
      </c>
    </row>
    <row r="16">
      <c r="O16" t="inlineStr">
        <is>
          <t>Test</t>
        </is>
      </c>
    </row>
    <row r="17">
      <c r="O17" t="inlineStr">
        <is>
          <t>Test</t>
        </is>
      </c>
    </row>
    <row r="18">
      <c r="O18" t="inlineStr">
        <is>
          <t>Test</t>
        </is>
      </c>
    </row>
    <row r="19">
      <c r="O19" t="inlineStr">
        <is>
          <t>Test</t>
        </is>
      </c>
    </row>
    <row r="20">
      <c r="O20" t="inlineStr">
        <is>
          <t>Test</t>
        </is>
      </c>
    </row>
    <row r="21">
      <c r="O21" t="inlineStr">
        <is>
          <t>Test</t>
        </is>
      </c>
    </row>
    <row r="22">
      <c r="O22" t="inlineStr">
        <is>
          <t>Test</t>
        </is>
      </c>
    </row>
    <row r="23">
      <c r="O23" t="inlineStr">
        <is>
          <t>Test</t>
        </is>
      </c>
    </row>
    <row r="24">
      <c r="O24" t="inlineStr">
        <is>
          <t>Test</t>
        </is>
      </c>
    </row>
    <row r="25">
      <c r="O25" t="inlineStr">
        <is>
          <t>Test</t>
        </is>
      </c>
    </row>
    <row r="26">
      <c r="O26" t="inlineStr">
        <is>
          <t>Test</t>
        </is>
      </c>
    </row>
    <row r="27">
      <c r="O27" t="inlineStr">
        <is>
          <t>Test</t>
        </is>
      </c>
    </row>
    <row r="28">
      <c r="O28" t="inlineStr">
        <is>
          <t>Test</t>
        </is>
      </c>
    </row>
    <row r="29">
      <c r="O29" t="inlineStr">
        <is>
          <t>Test</t>
        </is>
      </c>
    </row>
    <row r="30">
      <c r="O30" t="inlineStr">
        <is>
          <t>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9" sqref="B9"/>
    </sheetView>
  </sheetViews>
  <sheetFormatPr baseColWidth="8" defaultRowHeight="15"/>
  <cols>
    <col width="13.5703125" bestFit="1" customWidth="1" style="63" min="1" max="1"/>
  </cols>
  <sheetData>
    <row r="1">
      <c r="A1" s="2" t="inlineStr">
        <is>
          <t>Account Size</t>
        </is>
      </c>
      <c r="B1" t="n">
        <v>10000</v>
      </c>
    </row>
    <row r="2">
      <c r="A2" s="2" t="inlineStr">
        <is>
          <t>Risk %</t>
        </is>
      </c>
      <c r="B2" t="n">
        <v>0.01</v>
      </c>
    </row>
    <row r="3">
      <c r="A3" s="2" t="inlineStr">
        <is>
          <t>Entry Price</t>
        </is>
      </c>
      <c r="B3" t="n">
        <v>50</v>
      </c>
    </row>
    <row r="4">
      <c r="A4" s="2" t="inlineStr">
        <is>
          <t>Stop Price</t>
        </is>
      </c>
      <c r="B4" t="n">
        <v>48</v>
      </c>
    </row>
    <row r="5">
      <c r="A5" s="2" t="inlineStr">
        <is>
          <t>Dollar Risk</t>
        </is>
      </c>
      <c r="B5">
        <f>B1*B2</f>
        <v/>
      </c>
    </row>
    <row r="6">
      <c r="A6" s="2" t="inlineStr">
        <is>
          <t>Risk Per Share</t>
        </is>
      </c>
      <c r="B6">
        <f>B3-B4</f>
        <v/>
      </c>
    </row>
    <row r="7">
      <c r="A7" s="2" t="inlineStr">
        <is>
          <t>Shares To Buy</t>
        </is>
      </c>
      <c r="B7">
        <f>B5/B6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7"/>
  <sheetViews>
    <sheetView tabSelected="1" zoomScale="70" zoomScaleNormal="70" workbookViewId="0">
      <pane ySplit="4" topLeftCell="A9" activePane="bottomLeft" state="frozen"/>
      <selection pane="bottomLeft" activeCell="G17" sqref="G17"/>
    </sheetView>
  </sheetViews>
  <sheetFormatPr baseColWidth="8" defaultRowHeight="15"/>
  <cols>
    <col width="11.5703125" customWidth="1" style="63" min="1" max="1"/>
    <col width="15.7109375" customWidth="1" style="63" min="2" max="2"/>
    <col width="12" bestFit="1" customWidth="1" style="52" min="3" max="3"/>
    <col width="8.7109375" bestFit="1" customWidth="1" style="52" min="4" max="4"/>
    <col width="19.28515625" bestFit="1" customWidth="1" style="63" min="5" max="5"/>
    <col width="7.5703125" customWidth="1" style="63" min="6" max="6"/>
    <col width="13.28515625" customWidth="1" style="63" min="7" max="7"/>
    <col width="5.85546875" bestFit="1" customWidth="1" style="71" min="8" max="8"/>
    <col width="9.5703125" bestFit="1" customWidth="1" style="63" min="9" max="9"/>
    <col width="41" bestFit="1" customWidth="1" style="63" min="10" max="10"/>
    <col width="14.140625" bestFit="1" customWidth="1" style="63" min="12" max="12"/>
    <col width="14.85546875" bestFit="1" customWidth="1" style="63" min="13" max="13"/>
  </cols>
  <sheetData>
    <row r="1" ht="23.25" customHeight="1" s="63">
      <c r="A1" s="57" t="inlineStr">
        <is>
          <t>Trade Radar</t>
        </is>
      </c>
      <c r="L1" s="61" t="n"/>
      <c r="M1" s="54" t="n"/>
      <c r="N1" s="54" t="n"/>
      <c r="O1" s="54" t="n"/>
      <c r="P1" s="54" t="n"/>
      <c r="Q1" s="54" t="n"/>
      <c r="R1" s="54" t="n"/>
    </row>
    <row r="2">
      <c r="A2" s="73" t="inlineStr">
        <is>
          <t>Market Status</t>
        </is>
      </c>
      <c r="E2" t="inlineStr">
        <is>
          <t>Elite Leaders</t>
        </is>
      </c>
      <c r="G2">
        <f>MAX(COUNTA(EliteLeaders!A:A)-1,0)</f>
        <v/>
      </c>
      <c r="L2" s="9" t="n"/>
      <c r="M2" s="9" t="n"/>
      <c r="N2" s="15" t="n"/>
      <c r="O2" s="15" t="n"/>
      <c r="P2" s="22" t="n"/>
      <c r="Q2" s="22" t="n"/>
      <c r="R2" s="22" t="n"/>
    </row>
    <row r="3" ht="18.75" customHeight="1" s="63">
      <c r="A3" t="inlineStr">
        <is>
          <t>Score</t>
        </is>
      </c>
      <c r="B3">
        <f>'Market Dashboard'!B6</f>
        <v/>
      </c>
      <c r="E3" t="inlineStr">
        <is>
          <t>Institutional Count</t>
        </is>
      </c>
      <c r="G3">
        <f>MAX(COUNTA(InstitutionalAccumulation!A:A)-1,0)</f>
        <v/>
      </c>
    </row>
    <row r="4" ht="18.75" customHeight="1" s="63">
      <c r="A4" t="inlineStr">
        <is>
          <t>Regime</t>
        </is>
      </c>
      <c r="B4">
        <f>'Market Dashboard'!B7</f>
        <v/>
      </c>
      <c r="E4" t="inlineStr">
        <is>
          <t>High Conviction</t>
        </is>
      </c>
      <c r="G4">
        <f>COUNTIF(Indicators!J:J,"&gt;=95")</f>
        <v/>
      </c>
    </row>
    <row r="5" ht="18.75" customHeight="1" s="63"/>
    <row r="8">
      <c r="H8" s="72" t="n"/>
      <c r="I8" s="73" t="n"/>
      <c r="J8" s="73" t="n"/>
      <c r="L8" s="49" t="inlineStr">
        <is>
          <t>MARKET SUMMARY</t>
        </is>
      </c>
    </row>
    <row r="9">
      <c r="L9" s="55">
        <f>IF(COUNTIF(Watchlist!O:O,"BUY NOW")&gt;=8,
"STRONG BUY",
IF(COUNTIF(Watchlist!O:O,"BUY NOW")&gt;=4,
"BULLISH",
IF(COUNTIF(Watchlist!O:O,"SELL / AVOID")&gt;=10,
"DEFENSIVE",
"NEUTRAL")))</f>
        <v/>
      </c>
    </row>
    <row r="10" ht="18.75" customHeight="1" s="63">
      <c r="L10" s="11" t="inlineStr">
        <is>
          <t>Buy Signals</t>
        </is>
      </c>
      <c r="M10">
        <f>COUNTIF(Indicators!M:M,"HIGH CONVICTION")</f>
        <v/>
      </c>
    </row>
    <row r="11" ht="18.75" customHeight="1" s="63">
      <c r="J11" s="55" t="inlineStr">
        <is>
          <t>Pullback Entry</t>
        </is>
      </c>
      <c r="L11" s="10" t="inlineStr">
        <is>
          <t>Watch</t>
        </is>
      </c>
      <c r="M11">
        <f>COUNTIF(Indicators!M:M,"WATCH")</f>
        <v/>
      </c>
    </row>
    <row r="12" ht="18.75" customHeight="1" s="63">
      <c r="J12" t="inlineStr">
        <is>
          <t>Pullback to 20 or 50 SMA</t>
        </is>
      </c>
      <c r="L12" s="12" t="inlineStr">
        <is>
          <t>Avoid</t>
        </is>
      </c>
      <c r="M12">
        <f>COUNTIF(Indicators!M:M,"AVOID")</f>
        <v/>
      </c>
    </row>
    <row r="13">
      <c r="A13" s="53" t="inlineStr">
        <is>
          <t>BUY NOW</t>
        </is>
      </c>
      <c r="B13" s="54" t="n"/>
      <c r="C13" s="54" t="n"/>
      <c r="D13" s="54" t="n"/>
      <c r="E13" s="54" t="n"/>
      <c r="F13" s="54" t="n"/>
      <c r="G13" s="54" t="n"/>
      <c r="J13" s="36" t="inlineStr">
        <is>
          <t>+ First strong green day</t>
        </is>
      </c>
      <c r="L13" s="18" t="inlineStr">
        <is>
          <t>Bullish %</t>
        </is>
      </c>
      <c r="M13" s="13">
        <f>COUNTIF(Indicators!M:M,"HIGH CONVICTION")/(COUNTA(Indicators!A:A)-1)</f>
        <v/>
      </c>
    </row>
    <row r="14">
      <c r="A14" s="31" t="inlineStr">
        <is>
          <t>Symbol</t>
        </is>
      </c>
      <c r="B14" s="31" t="inlineStr">
        <is>
          <t>AlphaScore</t>
        </is>
      </c>
      <c r="C14" s="32" t="inlineStr">
        <is>
          <t>Return3M</t>
        </is>
      </c>
      <c r="D14" s="31" t="inlineStr">
        <is>
          <t>RVOL</t>
        </is>
      </c>
      <c r="E14" s="31" t="inlineStr">
        <is>
          <t>Decision</t>
        </is>
      </c>
      <c r="F14" s="31" t="n"/>
      <c r="J14" s="37" t="inlineStr">
        <is>
          <t>+ close above previous day's high</t>
        </is>
      </c>
    </row>
    <row r="15">
      <c r="A15">
        <f t="array" ref="A15:A26">IFERROR(_xlfn._xlws.FILTER(TradeDashRankings!B2:B100,TradeDashRankings!N2:N100="HIGH CONVICTION"),"")</f>
        <v/>
      </c>
      <c r="B15">
        <f t="array" ref="B15:B26">IFERROR(_xlfn._xlws.FILTER(TradeDashRankings!K2:K100,TradeDashRankings!N2:N100="HIGH CONVICTION"),"")</f>
        <v/>
      </c>
      <c r="C15">
        <f t="array" ref="C15:C26">IFERROR(_xlfn._xlws.FILTER(TradeDashRankings!G2:G100,TradeDashRankings!N2:N100="HIGH CONVICTION"),"")</f>
        <v/>
      </c>
      <c r="D15">
        <f t="array" ref="D15:D26">IFERROR(_xlfn._xlws.FILTER(TradeDashRankings!F2:F100,TradeDashRankings!N2:N100="HIGH CONVICTION"),"")</f>
        <v/>
      </c>
      <c r="E15">
        <f t="array" ref="E15:E26">IFERROR(_xlfn._xlws.FILTER(TradeDashRankings!N2:N100,TradeDashRankings!N2:N100="HIGH CONVICTION"),"")</f>
        <v/>
      </c>
      <c r="F15" s="26" t="n"/>
      <c r="G15" s="26" t="n"/>
      <c r="J15" s="36" t="inlineStr">
        <is>
          <t>= Buy/Likely bounce</t>
        </is>
      </c>
      <c r="L15" s="42" t="inlineStr">
        <is>
          <t>Top Trade Card</t>
        </is>
      </c>
      <c r="M15" s="43" t="n"/>
      <c r="N15" s="44" t="n"/>
      <c r="Q15" s="59" t="inlineStr">
        <is>
          <t>TradeDashRankings</t>
        </is>
      </c>
    </row>
    <row r="16">
      <c r="A16" s="27" t="inlineStr">
        <is>
          <t>LLY</t>
        </is>
      </c>
      <c r="B16" s="24" t="n">
        <v>100</v>
      </c>
      <c r="C16" s="24" t="n">
        <v>38.8</v>
      </c>
      <c r="D16" s="24" t="n">
        <v>0.1</v>
      </c>
      <c r="E16" s="24" t="inlineStr">
        <is>
          <t>HIGH CONVICTION</t>
        </is>
      </c>
      <c r="F16" s="70" t="n"/>
      <c r="G16" s="70" t="n"/>
      <c r="L16" s="16" t="inlineStr">
        <is>
          <t>Symbol</t>
        </is>
      </c>
      <c r="M16" s="16" t="inlineStr">
        <is>
          <t>AlphaScore</t>
        </is>
      </c>
      <c r="N16" s="16" t="inlineStr">
        <is>
          <t>Return3M</t>
        </is>
      </c>
      <c r="Q16" s="39" t="inlineStr">
        <is>
          <t>Rank</t>
        </is>
      </c>
      <c r="R16" s="39" t="inlineStr">
        <is>
          <t>Symbol</t>
        </is>
      </c>
      <c r="S16" s="39" t="inlineStr">
        <is>
          <t>Alpha</t>
        </is>
      </c>
      <c r="T16" s="39" t="inlineStr">
        <is>
          <t>Return3M</t>
        </is>
      </c>
      <c r="U16" s="39" t="inlineStr">
        <is>
          <t>RVOL</t>
        </is>
      </c>
    </row>
    <row r="17">
      <c r="A17" s="28" t="inlineStr">
        <is>
          <t>ABBV</t>
        </is>
      </c>
      <c r="B17" s="25" t="n">
        <v>100</v>
      </c>
      <c r="C17" s="25" t="n">
        <v>33.04</v>
      </c>
      <c r="D17" s="25" t="n">
        <v>0.11</v>
      </c>
      <c r="E17" s="25" t="inlineStr">
        <is>
          <t>HIGH CONVICTION</t>
        </is>
      </c>
      <c r="F17" s="67" t="n"/>
      <c r="G17" s="67" t="n"/>
      <c r="H17" s="71" t="n"/>
      <c r="J17" s="55" t="inlineStr">
        <is>
          <t>Breakout Entry</t>
        </is>
      </c>
      <c r="L17" s="17">
        <f>INDEX(_xlfn.ANCHORARRAY(A15),1,1)</f>
        <v/>
      </c>
      <c r="M17" s="17">
        <f>INDEX(_xlfn.ANCHORARRAY(A15),1,2)</f>
        <v/>
      </c>
      <c r="N17" s="17">
        <f>INDEX(_xlfn.ANCHORARRAY(A15),1,3)</f>
        <v/>
      </c>
      <c r="Q17" s="40" t="n">
        <v>1</v>
      </c>
      <c r="R17" s="40">
        <f>TradeDashRankings!B2</f>
        <v/>
      </c>
      <c r="S17" s="40">
        <f>TradeDashRankings!K2</f>
        <v/>
      </c>
      <c r="T17" s="40">
        <f>TradeDashRankings!G2</f>
        <v/>
      </c>
      <c r="U17" s="40">
        <f>TradeDashRankings!F2</f>
        <v/>
      </c>
    </row>
    <row r="18">
      <c r="A18" s="27" t="inlineStr">
        <is>
          <t>AAPL</t>
        </is>
      </c>
      <c r="B18" s="24" t="n">
        <v>100</v>
      </c>
      <c r="C18" s="24" t="n">
        <v>26.44</v>
      </c>
      <c r="D18" s="24" t="n">
        <v>0.21</v>
      </c>
      <c r="E18" s="24" t="inlineStr">
        <is>
          <t>HIGH CONVICTION</t>
        </is>
      </c>
      <c r="F18" s="70" t="n"/>
      <c r="G18" s="70" t="n"/>
      <c r="H18" s="71" t="n"/>
      <c r="J18" t="inlineStr">
        <is>
          <t>Resistance at a price (stuck 2-3 times)</t>
        </is>
      </c>
      <c r="Q18" s="40">
        <f>Q17+1</f>
        <v/>
      </c>
      <c r="R18" s="40">
        <f>TradeDashRankings!B3</f>
        <v/>
      </c>
      <c r="S18" s="40">
        <f>TradeDashRankings!K3</f>
        <v/>
      </c>
      <c r="T18" s="40">
        <f>TradeDashRankings!G3</f>
        <v/>
      </c>
      <c r="U18" s="40">
        <f>TradeDashRankings!F3</f>
        <v/>
      </c>
    </row>
    <row r="19">
      <c r="A19" s="28" t="inlineStr">
        <is>
          <t>BAC</t>
        </is>
      </c>
      <c r="B19" s="25" t="n">
        <v>100</v>
      </c>
      <c r="C19" s="25" t="n">
        <v>19.69</v>
      </c>
      <c r="D19" s="25" t="n">
        <v>0.23</v>
      </c>
      <c r="E19" s="25" t="inlineStr">
        <is>
          <t>HIGH CONVICTION</t>
        </is>
      </c>
      <c r="F19" s="67" t="n"/>
      <c r="G19" s="67" t="n"/>
      <c r="H19" s="71" t="n"/>
      <c r="J19" t="inlineStr">
        <is>
          <t>Break free</t>
        </is>
      </c>
      <c r="L19" s="45" t="inlineStr">
        <is>
          <t>Score Guide</t>
        </is>
      </c>
      <c r="Q19" s="40">
        <f>Q18+1</f>
        <v/>
      </c>
      <c r="R19" s="40">
        <f>TradeDashRankings!B4</f>
        <v/>
      </c>
      <c r="S19" s="40">
        <f>TradeDashRankings!K4</f>
        <v/>
      </c>
      <c r="T19" s="40">
        <f>TradeDashRankings!G4</f>
        <v/>
      </c>
      <c r="U19" s="40">
        <f>TradeDashRankings!F4</f>
        <v/>
      </c>
    </row>
    <row r="20">
      <c r="A20" s="27" t="inlineStr">
        <is>
          <t>JNJ</t>
        </is>
      </c>
      <c r="B20" s="24" t="n">
        <v>100</v>
      </c>
      <c r="C20" s="24" t="n">
        <v>19.37</v>
      </c>
      <c r="D20" s="24" t="n">
        <v>0.13</v>
      </c>
      <c r="E20" s="24" t="inlineStr">
        <is>
          <t>HIGH CONVICTION</t>
        </is>
      </c>
      <c r="F20" s="70" t="n"/>
      <c r="G20" s="70" t="n"/>
      <c r="H20" s="71" t="n"/>
      <c r="J20" t="inlineStr">
        <is>
          <t>Close above resistance price</t>
        </is>
      </c>
      <c r="L20" s="47" t="inlineStr">
        <is>
          <t>90-100 = A+ Setup</t>
        </is>
      </c>
      <c r="Q20" s="40">
        <f>Q19+1</f>
        <v/>
      </c>
      <c r="R20" s="40">
        <f>TradeDashRankings!B5</f>
        <v/>
      </c>
      <c r="S20" s="40">
        <f>TradeDashRankings!K5</f>
        <v/>
      </c>
      <c r="T20" s="40">
        <f>TradeDashRankings!G5</f>
        <v/>
      </c>
      <c r="U20" s="40">
        <f>TradeDashRankings!F5</f>
        <v/>
      </c>
    </row>
    <row r="21">
      <c r="A21" s="28" t="inlineStr">
        <is>
          <t>JPM</t>
        </is>
      </c>
      <c r="B21" s="25" t="n">
        <v>100</v>
      </c>
      <c r="C21" s="25" t="n">
        <v>15.04</v>
      </c>
      <c r="D21" s="25" t="n">
        <v>0.12</v>
      </c>
      <c r="E21" s="25" t="inlineStr">
        <is>
          <t>HIGH CONVICTION</t>
        </is>
      </c>
      <c r="F21" s="67" t="n"/>
      <c r="G21" s="67" t="n"/>
      <c r="H21" s="72" t="n"/>
      <c r="I21" s="73" t="n"/>
      <c r="J21" s="38" t="inlineStr">
        <is>
          <t>Volume confirmation (Increasing)</t>
        </is>
      </c>
      <c r="L21" s="47" t="inlineStr">
        <is>
          <t>80-89 = A Setup</t>
        </is>
      </c>
      <c r="Q21" s="40">
        <f>Q20+1</f>
        <v/>
      </c>
      <c r="R21" s="40">
        <f>TradeDashRankings!B6</f>
        <v/>
      </c>
      <c r="S21" s="40">
        <f>TradeDashRankings!K6</f>
        <v/>
      </c>
      <c r="T21" s="40">
        <f>TradeDashRankings!G6</f>
        <v/>
      </c>
      <c r="U21" s="40">
        <f>TradeDashRankings!F6</f>
        <v/>
      </c>
    </row>
    <row r="22">
      <c r="A22" s="27" t="inlineStr">
        <is>
          <t>XLF</t>
        </is>
      </c>
      <c r="B22" s="24" t="n">
        <v>100</v>
      </c>
      <c r="C22" s="24" t="n">
        <v>10.26</v>
      </c>
      <c r="D22" s="24" t="n">
        <v>0.2</v>
      </c>
      <c r="E22" s="24" t="inlineStr">
        <is>
          <t>HIGH CONVICTION</t>
        </is>
      </c>
      <c r="F22" s="70" t="n"/>
      <c r="G22" s="70" t="n"/>
      <c r="L22" s="47" t="inlineStr">
        <is>
          <t>70-79 = B Setup</t>
        </is>
      </c>
      <c r="Q22" s="40">
        <f>Q21+1</f>
        <v/>
      </c>
      <c r="R22" s="40">
        <f>TradeDashRankings!B7</f>
        <v/>
      </c>
      <c r="S22" s="40">
        <f>TradeDashRankings!K7</f>
        <v/>
      </c>
      <c r="T22" s="40">
        <f>TradeDashRankings!G7</f>
        <v/>
      </c>
      <c r="U22" s="40">
        <f>TradeDashRankings!F7</f>
        <v/>
      </c>
    </row>
    <row r="23">
      <c r="A23" s="28" t="inlineStr">
        <is>
          <t>DDOG</t>
        </is>
      </c>
      <c r="B23" s="25" t="n">
        <v>95</v>
      </c>
      <c r="C23" s="25" t="n">
        <v>88.88</v>
      </c>
      <c r="D23" s="25" t="n">
        <v>0.15</v>
      </c>
      <c r="E23" s="25" t="inlineStr">
        <is>
          <t>HIGH CONVICTION</t>
        </is>
      </c>
      <c r="F23" s="69" t="n"/>
      <c r="G23" s="25" t="n"/>
      <c r="L23" s="47" t="inlineStr">
        <is>
          <t>60-69 = C Setup</t>
        </is>
      </c>
      <c r="Q23" s="40">
        <f>Q22+1</f>
        <v/>
      </c>
      <c r="R23" s="40">
        <f>TradeDashRankings!B8</f>
        <v/>
      </c>
      <c r="S23" s="40">
        <f>TradeDashRankings!K8</f>
        <v/>
      </c>
      <c r="T23" s="40">
        <f>TradeDashRankings!G8</f>
        <v/>
      </c>
      <c r="U23" s="40">
        <f>TradeDashRankings!F8</f>
        <v/>
      </c>
    </row>
    <row r="24">
      <c r="A24" s="27" t="inlineStr">
        <is>
          <t>FTNT</t>
        </is>
      </c>
      <c r="B24" s="24" t="n">
        <v>95</v>
      </c>
      <c r="C24" s="24" t="n">
        <v>78.63</v>
      </c>
      <c r="D24" s="24" t="n">
        <v>0.11</v>
      </c>
      <c r="E24" s="24" t="inlineStr">
        <is>
          <t>HIGH CONVICTION</t>
        </is>
      </c>
      <c r="F24" s="24" t="n"/>
      <c r="G24" s="24" t="n"/>
      <c r="L24" s="47" t="inlineStr">
        <is>
          <t>&lt;60 = Avoid</t>
        </is>
      </c>
      <c r="Q24" s="40">
        <f>Q23+1</f>
        <v/>
      </c>
      <c r="R24" s="40">
        <f>TradeDashRankings!B9</f>
        <v/>
      </c>
      <c r="S24" s="40">
        <f>TradeDashRankings!K9</f>
        <v/>
      </c>
      <c r="T24" s="40">
        <f>TradeDashRankings!G9</f>
        <v/>
      </c>
      <c r="U24" s="40">
        <f>TradeDashRankings!F9</f>
        <v/>
      </c>
    </row>
    <row r="25">
      <c r="A25" s="28" t="inlineStr">
        <is>
          <t>GE</t>
        </is>
      </c>
      <c r="B25" s="25" t="n">
        <v>95</v>
      </c>
      <c r="C25" s="25" t="n">
        <v>26.75</v>
      </c>
      <c r="D25" s="25" t="n">
        <v>0.2</v>
      </c>
      <c r="E25" s="25" t="inlineStr">
        <is>
          <t>HIGH CONVICTION</t>
        </is>
      </c>
      <c r="F25" s="25" t="n"/>
      <c r="G25" s="25" t="n"/>
      <c r="Q25" s="40">
        <f>Q24+1</f>
        <v/>
      </c>
      <c r="R25" s="40">
        <f>TradeDashRankings!B10</f>
        <v/>
      </c>
      <c r="S25" s="40">
        <f>TradeDashRankings!K10</f>
        <v/>
      </c>
      <c r="T25" s="40">
        <f>TradeDashRankings!G10</f>
        <v/>
      </c>
      <c r="U25" s="40">
        <f>TradeDashRankings!F10</f>
        <v/>
      </c>
    </row>
    <row r="26">
      <c r="A26" s="27" t="inlineStr">
        <is>
          <t>XLV</t>
        </is>
      </c>
      <c r="B26" s="24" t="n">
        <v>95</v>
      </c>
      <c r="C26" s="29" t="n">
        <v>14.87</v>
      </c>
      <c r="D26" s="29" t="n">
        <v>0.19</v>
      </c>
      <c r="E26" s="24" t="inlineStr">
        <is>
          <t>HIGH CONVICTION</t>
        </is>
      </c>
      <c r="F26" s="24" t="n"/>
      <c r="G26" s="24" t="n"/>
      <c r="L26" s="45" t="inlineStr">
        <is>
          <t>RSI Guiude</t>
        </is>
      </c>
      <c r="Q26" s="40">
        <f>Q25+1</f>
        <v/>
      </c>
      <c r="R26" s="40">
        <f>TradeDashRankings!B11</f>
        <v/>
      </c>
      <c r="S26" s="40">
        <f>TradeDashRankings!K11</f>
        <v/>
      </c>
      <c r="T26" s="40">
        <f>TradeDashRankings!G11</f>
        <v/>
      </c>
      <c r="U26" s="40">
        <f>TradeDashRankings!F11</f>
        <v/>
      </c>
    </row>
    <row r="27">
      <c r="A27" s="28" t="n"/>
      <c r="B27" s="25" t="n"/>
      <c r="C27" s="30" t="n"/>
      <c r="D27" s="30" t="n"/>
      <c r="E27" s="67" t="n"/>
      <c r="F27" s="68" t="n"/>
      <c r="G27" s="65" t="n"/>
      <c r="L27" s="47" t="inlineStr">
        <is>
          <t>70+ = Overbought</t>
        </is>
      </c>
    </row>
    <row r="28">
      <c r="A28" s="27" t="n"/>
      <c r="B28" s="24" t="n"/>
      <c r="C28" s="24" t="n"/>
      <c r="D28" s="24" t="n"/>
      <c r="E28" s="66" t="n"/>
      <c r="F28" s="66" t="n"/>
      <c r="G28" s="24" t="n"/>
      <c r="L28" s="47" t="inlineStr">
        <is>
          <t>60-70 = Strong Momentum</t>
        </is>
      </c>
    </row>
    <row r="29">
      <c r="L29" s="47" t="inlineStr">
        <is>
          <t>50-60 = Healthy Trend</t>
        </is>
      </c>
    </row>
    <row r="30">
      <c r="A30" s="56" t="inlineStr">
        <is>
          <t>WATCH FOR ENTRY</t>
        </is>
      </c>
      <c r="B30" s="54" t="n"/>
      <c r="C30" s="54" t="n"/>
      <c r="D30" s="54" t="n"/>
      <c r="E30" s="54" t="n"/>
      <c r="L30" s="47" t="inlineStr">
        <is>
          <t>40-50 = Weak Trend</t>
        </is>
      </c>
    </row>
    <row r="31">
      <c r="A31" s="31" t="inlineStr">
        <is>
          <t>Symbol</t>
        </is>
      </c>
      <c r="B31" s="31" t="inlineStr">
        <is>
          <t>AlphaScore</t>
        </is>
      </c>
      <c r="C31" s="32" t="inlineStr">
        <is>
          <t>Return3M</t>
        </is>
      </c>
      <c r="D31" s="31" t="inlineStr">
        <is>
          <t>RVOL</t>
        </is>
      </c>
      <c r="E31" s="31" t="inlineStr">
        <is>
          <t>Decision</t>
        </is>
      </c>
      <c r="F31" s="64" t="n"/>
      <c r="G31" s="64" t="n"/>
      <c r="L31" s="47" t="inlineStr">
        <is>
          <t>&lt;40 = Bearish</t>
        </is>
      </c>
    </row>
    <row r="32">
      <c r="A32">
        <f t="array" ref="A32:A35">IFERROR(_xlfn._xlws.FILTER(TradeDashRankings!B2:B100,TradeDashRankings!N2:N100="WATCH"),"")</f>
        <v/>
      </c>
      <c r="B32">
        <f t="array" ref="B32:B35">IFERROR(_xlfn._xlws.FILTER(TradeDashRankings!K2:K100,TradeDashRankings!N2:N100="WATCH"),"")</f>
        <v/>
      </c>
      <c r="C32">
        <f t="array" ref="C32:C35">IFERROR(_xlfn._xlws.FILTER(TradeDashRankings!G2:G100,TradeDashRankings!N2:N100="WATCH"),"")</f>
        <v/>
      </c>
      <c r="D32">
        <f t="array" ref="D32:D35">IFERROR(_xlfn._xlws.FILTER(TradeDashRankings!F2:F100,TradeDashRankings!N2:N100="WATCH"),"")</f>
        <v/>
      </c>
      <c r="E32">
        <f t="array" ref="E32:E35">IFERROR(_xlfn._xlws.FILTER(TradeDashRankings!N2:N100,TradeDashRankings!N2:N100="WATCH"),"")</f>
        <v/>
      </c>
    </row>
    <row r="33" ht="16.5" customHeight="1" s="63">
      <c r="A33" t="inlineStr">
        <is>
          <t>OKTA</t>
        </is>
      </c>
      <c r="B33" t="n">
        <v>85</v>
      </c>
      <c r="C33" t="n">
        <v>81.69</v>
      </c>
      <c r="D33" t="n">
        <v>0.09</v>
      </c>
      <c r="E33" t="inlineStr">
        <is>
          <t>WATCH</t>
        </is>
      </c>
      <c r="L33" s="45" t="inlineStr">
        <is>
          <t>RVOL Guide</t>
        </is>
      </c>
    </row>
    <row r="34" ht="16.5" customHeight="1" s="63">
      <c r="A34" t="inlineStr">
        <is>
          <t>PANW</t>
        </is>
      </c>
      <c r="B34" t="n">
        <v>85</v>
      </c>
      <c r="C34" t="n">
        <v>76.27</v>
      </c>
      <c r="D34" t="n">
        <v>0.11</v>
      </c>
      <c r="E34" t="inlineStr">
        <is>
          <t>WATCH</t>
        </is>
      </c>
      <c r="L34" s="47" t="inlineStr">
        <is>
          <t>&gt;2.0 = Heavy Interest</t>
        </is>
      </c>
    </row>
    <row r="35" ht="16.5" customHeight="1" s="63">
      <c r="A35" t="inlineStr">
        <is>
          <t>CRWD</t>
        </is>
      </c>
      <c r="B35" t="n">
        <v>85</v>
      </c>
      <c r="C35" t="n">
        <v>61.26</v>
      </c>
      <c r="D35" t="n">
        <v>0.1</v>
      </c>
      <c r="E35" t="inlineStr">
        <is>
          <t>WATCH</t>
        </is>
      </c>
      <c r="L35" s="47" t="inlineStr">
        <is>
          <t>1.2+ = Good Confirmation</t>
        </is>
      </c>
    </row>
    <row r="36" ht="16.5" customHeight="1" s="63">
      <c r="L36" s="47" t="inlineStr">
        <is>
          <t>1.0+ = Normal</t>
        </is>
      </c>
    </row>
    <row r="37" ht="16.5" customHeight="1" s="63">
      <c r="L37" s="47" t="inlineStr">
        <is>
          <t>&lt;1.0 = Weak Participation</t>
        </is>
      </c>
    </row>
    <row r="38" ht="16.5" customHeight="1" s="63"/>
    <row r="39">
      <c r="L39" s="45" t="inlineStr">
        <is>
          <t>ENTRY CHECKLIST</t>
        </is>
      </c>
    </row>
    <row r="40" ht="16.5" customHeight="1" s="63">
      <c r="H40" s="72" t="n"/>
      <c r="I40" s="73" t="n"/>
      <c r="J40" s="73" t="n"/>
      <c r="L40" s="48" t="inlineStr">
        <is>
          <t>☐ Score above 80</t>
        </is>
      </c>
    </row>
    <row r="41" ht="16.5" customHeight="1" s="63">
      <c r="L41" s="48" t="inlineStr">
        <is>
          <t>☐ RSI above 50</t>
        </is>
      </c>
    </row>
    <row r="42" ht="16.5" customHeight="1" s="63">
      <c r="L42" s="48" t="inlineStr">
        <is>
          <t>☐ RVOL above 1.0</t>
        </is>
      </c>
    </row>
    <row r="43" ht="16.5" customHeight="1" s="63">
      <c r="L43" s="48" t="inlineStr">
        <is>
          <t>☐ Decision says BUY NOW</t>
        </is>
      </c>
    </row>
    <row r="44" ht="16.5" customHeight="1" s="63">
      <c r="L44" s="48" t="inlineStr">
        <is>
          <t>☐ Stop and Target acceptable</t>
        </is>
      </c>
    </row>
    <row r="45" ht="16.5" customHeight="1" s="63">
      <c r="L45" s="48" t="inlineStr">
        <is>
          <t>☐ Risk fits trading plan</t>
        </is>
      </c>
    </row>
    <row r="46">
      <c r="L46" s="19" t="n"/>
    </row>
    <row r="47" ht="16.5" customHeight="1" s="63">
      <c r="L47" s="48" t="inlineStr">
        <is>
          <t>If 5 of 6 boxes are checked → take the trade.</t>
        </is>
      </c>
    </row>
    <row r="49">
      <c r="L49" s="50" t="inlineStr">
        <is>
          <t>Higher Score wins.</t>
        </is>
      </c>
    </row>
    <row r="50">
      <c r="L50" s="50" t="inlineStr">
        <is>
          <t>Higher RVOL wins.</t>
        </is>
      </c>
    </row>
    <row r="51">
      <c r="L51" s="50" t="inlineStr">
        <is>
          <t>Lower emotion wins.</t>
        </is>
      </c>
    </row>
    <row r="54">
      <c r="A54" s="60" t="inlineStr">
        <is>
          <t>SELL / AVOID</t>
        </is>
      </c>
      <c r="B54" s="54" t="n"/>
      <c r="C54" s="54" t="n"/>
      <c r="D54" s="54" t="n"/>
      <c r="E54" s="54" t="n"/>
    </row>
    <row r="55">
      <c r="A55" s="9" t="inlineStr">
        <is>
          <t>Symbol</t>
        </is>
      </c>
      <c r="B55" s="9" t="inlineStr">
        <is>
          <t>FinalScore</t>
        </is>
      </c>
      <c r="C55" s="15" t="inlineStr">
        <is>
          <t>Grade</t>
        </is>
      </c>
      <c r="D55" s="15" t="inlineStr">
        <is>
          <t>RSI</t>
        </is>
      </c>
      <c r="E55" s="22" t="inlineStr">
        <is>
          <t>RVOL</t>
        </is>
      </c>
      <c r="F55" s="64" t="n"/>
      <c r="G55" s="64" t="n"/>
    </row>
    <row r="56">
      <c r="A56">
        <f t="array" ref="A56:A107">IFERROR(_xlfn._xlws.FILTER(TradeDashRankings!B2:B100,TradeDashRankings!N2:N100="AVOID"),"")</f>
        <v/>
      </c>
      <c r="B56">
        <f t="array" ref="B56:B107">IFERROR(_xlfn._xlws.FILTER(TradeDashRankings!K2:K100,TradeDashRankings!N2:N100="AVOID"),"")</f>
        <v/>
      </c>
      <c r="C56">
        <f t="array" ref="C56:C107">IFERROR(_xlfn._xlws.FILTER(TradeDashRankings!G2:G100,TradeDashRankings!N2:N100="AVOID"),"")</f>
        <v/>
      </c>
      <c r="D56">
        <f t="array" ref="D56:D107">IFERROR(_xlfn._xlws.FILTER(TradeDashRankings!F2:F100,TradeDashRankings!N2:N100="AVOID"),"")</f>
        <v/>
      </c>
      <c r="E56">
        <f t="array" ref="E56:E107">IFERROR(_xlfn._xlws.FILTER(TradeDashRankings!N2:N100,TradeDashRankings!N2:N100="AVOID"),"")</f>
        <v/>
      </c>
    </row>
    <row r="57">
      <c r="A57" t="inlineStr">
        <is>
          <t>GS</t>
        </is>
      </c>
      <c r="B57" t="n">
        <v>80</v>
      </c>
      <c r="C57" s="52" t="n">
        <v>14.13</v>
      </c>
      <c r="D57" s="52" t="n">
        <v>0.18</v>
      </c>
      <c r="E57" t="inlineStr">
        <is>
          <t>AVOID</t>
        </is>
      </c>
    </row>
    <row r="58">
      <c r="A58" t="inlineStr">
        <is>
          <t>SBUX</t>
        </is>
      </c>
      <c r="B58" t="n">
        <v>80</v>
      </c>
      <c r="C58" s="52" t="n">
        <v>8.039999999999999</v>
      </c>
      <c r="D58" s="52" t="n">
        <v>0.15</v>
      </c>
      <c r="E58" t="inlineStr">
        <is>
          <t>AVOID</t>
        </is>
      </c>
    </row>
    <row r="59">
      <c r="A59" t="inlineStr">
        <is>
          <t>ROST</t>
        </is>
      </c>
      <c r="B59" t="n">
        <v>80</v>
      </c>
      <c r="C59" s="52" t="n">
        <v>7.17</v>
      </c>
      <c r="D59" s="52" t="n">
        <v>0.1</v>
      </c>
      <c r="E59" t="inlineStr">
        <is>
          <t>AVOID</t>
        </is>
      </c>
    </row>
    <row r="60">
      <c r="A60" t="inlineStr">
        <is>
          <t>PH</t>
        </is>
      </c>
      <c r="B60" t="n">
        <v>80</v>
      </c>
      <c r="C60" s="52" t="n">
        <v>1.07</v>
      </c>
      <c r="D60" s="52" t="n">
        <v>0.09</v>
      </c>
      <c r="E60" t="inlineStr">
        <is>
          <t>AVOID</t>
        </is>
      </c>
    </row>
    <row r="61">
      <c r="A61" t="inlineStr">
        <is>
          <t>TT</t>
        </is>
      </c>
      <c r="B61" t="n">
        <v>80</v>
      </c>
      <c r="C61" s="52" t="n">
        <v>-1.27</v>
      </c>
      <c r="D61" s="52" t="n">
        <v>0.08</v>
      </c>
      <c r="E61" t="inlineStr">
        <is>
          <t>AVOID</t>
        </is>
      </c>
    </row>
    <row r="62">
      <c r="A62" t="inlineStr">
        <is>
          <t>MU</t>
        </is>
      </c>
      <c r="B62" t="n">
        <v>75</v>
      </c>
      <c r="C62" s="52" t="n">
        <v>67.12</v>
      </c>
      <c r="D62" s="52" t="n">
        <v>0.28</v>
      </c>
      <c r="E62" t="inlineStr">
        <is>
          <t>AVOID</t>
        </is>
      </c>
    </row>
    <row r="63">
      <c r="A63" t="inlineStr">
        <is>
          <t>NET</t>
        </is>
      </c>
      <c r="B63" t="n">
        <v>75</v>
      </c>
      <c r="C63" s="52" t="n">
        <v>24.36</v>
      </c>
      <c r="D63" s="52" t="n">
        <v>0.09</v>
      </c>
      <c r="E63" t="inlineStr">
        <is>
          <t>AVOID</t>
        </is>
      </c>
    </row>
    <row r="64">
      <c r="A64" t="inlineStr">
        <is>
          <t>UNH</t>
        </is>
      </c>
      <c r="B64" t="n">
        <v>75</v>
      </c>
      <c r="C64" s="52" t="n">
        <v>18.16</v>
      </c>
      <c r="D64" s="52" t="n">
        <v>0.16</v>
      </c>
      <c r="E64" t="inlineStr">
        <is>
          <t>AVOID</t>
        </is>
      </c>
    </row>
    <row r="65">
      <c r="A65" t="inlineStr">
        <is>
          <t>DIA</t>
        </is>
      </c>
      <c r="B65" t="n">
        <v>75</v>
      </c>
      <c r="C65" s="52" t="n">
        <v>6.66</v>
      </c>
      <c r="D65" s="52" t="n">
        <v>0.33</v>
      </c>
      <c r="E65" t="inlineStr">
        <is>
          <t>AVOID</t>
        </is>
      </c>
    </row>
    <row r="66">
      <c r="A66" t="inlineStr">
        <is>
          <t>DE</t>
        </is>
      </c>
      <c r="B66" t="n">
        <v>70</v>
      </c>
      <c r="C66" s="52" t="n">
        <v>9.59</v>
      </c>
      <c r="D66" s="52" t="n">
        <v>0.07000000000000001</v>
      </c>
      <c r="E66" t="inlineStr">
        <is>
          <t>AVOID</t>
        </is>
      </c>
    </row>
    <row r="67">
      <c r="A67" t="inlineStr">
        <is>
          <t>AMD</t>
        </is>
      </c>
      <c r="B67" t="n">
        <v>65</v>
      </c>
      <c r="C67" s="52" t="n">
        <v>46.57</v>
      </c>
      <c r="D67" s="52" t="n">
        <v>0.29</v>
      </c>
      <c r="E67" t="inlineStr">
        <is>
          <t>AVOID</t>
        </is>
      </c>
    </row>
    <row r="68">
      <c r="A68" t="inlineStr">
        <is>
          <t>XBI</t>
        </is>
      </c>
      <c r="B68" t="n">
        <v>65</v>
      </c>
      <c r="C68" s="52" t="n">
        <v>14.72</v>
      </c>
      <c r="D68" s="52" t="n">
        <v>0.35</v>
      </c>
      <c r="E68" t="inlineStr">
        <is>
          <t>AVOID</t>
        </is>
      </c>
    </row>
    <row r="69">
      <c r="A69" t="inlineStr">
        <is>
          <t>MS</t>
        </is>
      </c>
      <c r="B69" t="n">
        <v>65</v>
      </c>
      <c r="C69" s="52" t="n">
        <v>14.19</v>
      </c>
      <c r="D69" s="52" t="n">
        <v>0.11</v>
      </c>
      <c r="E69" t="inlineStr">
        <is>
          <t>AVOID</t>
        </is>
      </c>
    </row>
    <row r="70">
      <c r="A70" t="inlineStr">
        <is>
          <t>VRTX</t>
        </is>
      </c>
      <c r="B70" t="n">
        <v>65</v>
      </c>
      <c r="C70" s="52" t="n">
        <v>13.8</v>
      </c>
      <c r="D70" s="52" t="n">
        <v>0.16</v>
      </c>
      <c r="E70" t="inlineStr">
        <is>
          <t>AVOID</t>
        </is>
      </c>
    </row>
    <row r="71">
      <c r="A71" t="inlineStr">
        <is>
          <t>IWM</t>
        </is>
      </c>
      <c r="B71" t="n">
        <v>65</v>
      </c>
      <c r="C71" s="52" t="n">
        <v>5.83</v>
      </c>
      <c r="D71" s="52" t="n">
        <v>0.26</v>
      </c>
      <c r="E71" t="inlineStr">
        <is>
          <t>AVOID</t>
        </is>
      </c>
    </row>
    <row r="72">
      <c r="A72" t="inlineStr">
        <is>
          <t>WFC</t>
        </is>
      </c>
      <c r="B72" t="n">
        <v>60</v>
      </c>
      <c r="C72" s="52" t="n">
        <v>9.24</v>
      </c>
      <c r="D72" s="52" t="n">
        <v>0.1</v>
      </c>
      <c r="E72" t="inlineStr">
        <is>
          <t>AVOID</t>
        </is>
      </c>
    </row>
    <row r="73">
      <c r="A73" t="inlineStr">
        <is>
          <t>XOM</t>
        </is>
      </c>
      <c r="B73" t="n">
        <v>60</v>
      </c>
      <c r="C73" s="52" t="n">
        <v>5.01</v>
      </c>
      <c r="D73" s="52" t="n">
        <v>0.17</v>
      </c>
      <c r="E73" t="inlineStr">
        <is>
          <t>AVOID</t>
        </is>
      </c>
    </row>
    <row r="74">
      <c r="A74" t="inlineStr">
        <is>
          <t>CVX</t>
        </is>
      </c>
      <c r="B74" t="n">
        <v>60</v>
      </c>
      <c r="C74" s="52" t="n">
        <v>4.6</v>
      </c>
      <c r="D74" s="52" t="n">
        <v>0.2</v>
      </c>
      <c r="E74" t="inlineStr">
        <is>
          <t>AVOID</t>
        </is>
      </c>
    </row>
    <row r="75">
      <c r="A75" t="inlineStr">
        <is>
          <t>XLE</t>
        </is>
      </c>
      <c r="B75" t="n">
        <v>60</v>
      </c>
      <c r="C75" s="52" t="n">
        <v>4.15</v>
      </c>
      <c r="D75" s="52" t="n">
        <v>0.32</v>
      </c>
      <c r="E75" t="inlineStr">
        <is>
          <t>AVOID</t>
        </is>
      </c>
    </row>
    <row r="76">
      <c r="A76" t="inlineStr">
        <is>
          <t>SLB</t>
        </is>
      </c>
      <c r="B76" t="n">
        <v>60</v>
      </c>
      <c r="C76" s="52" t="n">
        <v>-4.61</v>
      </c>
      <c r="D76" s="52" t="n">
        <v>0.29</v>
      </c>
      <c r="E76" t="inlineStr">
        <is>
          <t>AVOID</t>
        </is>
      </c>
    </row>
    <row r="77">
      <c r="A77" t="inlineStr">
        <is>
          <t>SPY</t>
        </is>
      </c>
      <c r="B77" t="n">
        <v>55</v>
      </c>
      <c r="C77" s="52" t="n">
        <v>3.73</v>
      </c>
      <c r="D77" s="52" t="n">
        <v>0.18</v>
      </c>
      <c r="E77" t="inlineStr">
        <is>
          <t>AVOID</t>
        </is>
      </c>
    </row>
    <row r="78">
      <c r="A78" t="inlineStr">
        <is>
          <t>TJX</t>
        </is>
      </c>
      <c r="B78" t="n">
        <v>50</v>
      </c>
      <c r="C78" s="52" t="n">
        <v>-0.7</v>
      </c>
      <c r="D78" s="52" t="n">
        <v>0.11</v>
      </c>
      <c r="E78" t="inlineStr">
        <is>
          <t>AVOID</t>
        </is>
      </c>
    </row>
    <row r="79">
      <c r="A79" t="inlineStr">
        <is>
          <t>OXY</t>
        </is>
      </c>
      <c r="B79" t="n">
        <v>50</v>
      </c>
      <c r="C79" s="52" t="n">
        <v>-1.99</v>
      </c>
      <c r="D79" s="52" t="n">
        <v>0.21</v>
      </c>
      <c r="E79" t="inlineStr">
        <is>
          <t>AVOID</t>
        </is>
      </c>
    </row>
    <row r="80">
      <c r="A80" t="inlineStr">
        <is>
          <t>COP</t>
        </is>
      </c>
      <c r="B80" t="n">
        <v>50</v>
      </c>
      <c r="C80" s="52" t="n">
        <v>-2.78</v>
      </c>
      <c r="D80" s="52" t="n">
        <v>0.14</v>
      </c>
      <c r="E80" t="inlineStr">
        <is>
          <t>AVOID</t>
        </is>
      </c>
    </row>
    <row r="81">
      <c r="A81" t="inlineStr">
        <is>
          <t>C</t>
        </is>
      </c>
      <c r="B81" t="n">
        <v>45</v>
      </c>
      <c r="C81" s="52" t="n">
        <v>4.01</v>
      </c>
      <c r="D81" s="52" t="n">
        <v>0.11</v>
      </c>
      <c r="E81" t="inlineStr">
        <is>
          <t>AVOID</t>
        </is>
      </c>
    </row>
    <row r="82">
      <c r="A82" t="inlineStr">
        <is>
          <t>BLK</t>
        </is>
      </c>
      <c r="B82" t="n">
        <v>40</v>
      </c>
      <c r="C82" s="52" t="n">
        <v>0.78</v>
      </c>
      <c r="D82" s="52" t="n">
        <v>0.05</v>
      </c>
      <c r="E82" t="inlineStr">
        <is>
          <t>AVOID</t>
        </is>
      </c>
    </row>
    <row r="83">
      <c r="A83" t="inlineStr">
        <is>
          <t>ARM</t>
        </is>
      </c>
      <c r="B83" t="n">
        <v>35</v>
      </c>
      <c r="C83" s="52" t="n">
        <v>19.8</v>
      </c>
      <c r="D83" s="52" t="n">
        <v>0.18</v>
      </c>
      <c r="E83" t="inlineStr">
        <is>
          <t>AVOID</t>
        </is>
      </c>
    </row>
    <row r="84">
      <c r="A84" t="inlineStr">
        <is>
          <t>MRVL</t>
        </is>
      </c>
      <c r="B84" t="n">
        <v>35</v>
      </c>
      <c r="C84" s="52" t="n">
        <v>19.04</v>
      </c>
      <c r="D84" s="52" t="n">
        <v>0.18</v>
      </c>
      <c r="E84" t="inlineStr">
        <is>
          <t>AVOID</t>
        </is>
      </c>
    </row>
    <row r="85">
      <c r="A85" t="inlineStr">
        <is>
          <t>QCOM</t>
        </is>
      </c>
      <c r="B85" t="n">
        <v>35</v>
      </c>
      <c r="C85" s="52" t="n">
        <v>12.28</v>
      </c>
      <c r="D85" s="52" t="n">
        <v>0.14</v>
      </c>
      <c r="E85" t="inlineStr">
        <is>
          <t>AVOID</t>
        </is>
      </c>
    </row>
    <row r="86">
      <c r="A86" t="inlineStr">
        <is>
          <t>CAT</t>
        </is>
      </c>
      <c r="B86" t="n">
        <v>35</v>
      </c>
      <c r="C86" s="52" t="n">
        <v>4</v>
      </c>
      <c r="D86" s="52" t="n">
        <v>0.23</v>
      </c>
      <c r="E86" t="inlineStr">
        <is>
          <t>AVOID</t>
        </is>
      </c>
    </row>
    <row r="87">
      <c r="A87" t="inlineStr">
        <is>
          <t>QQQ</t>
        </is>
      </c>
      <c r="B87" t="n">
        <v>35</v>
      </c>
      <c r="C87" s="52" t="n">
        <v>2.81</v>
      </c>
      <c r="D87" s="52" t="n">
        <v>0.27</v>
      </c>
      <c r="E87" t="inlineStr">
        <is>
          <t>AVOID</t>
        </is>
      </c>
    </row>
    <row r="88">
      <c r="A88" t="inlineStr">
        <is>
          <t>ETN</t>
        </is>
      </c>
      <c r="B88" t="n">
        <v>35</v>
      </c>
      <c r="C88" s="52" t="n">
        <v>-5.73</v>
      </c>
      <c r="D88" s="52" t="n">
        <v>0.15</v>
      </c>
      <c r="E88" t="inlineStr">
        <is>
          <t>AVOID</t>
        </is>
      </c>
    </row>
    <row r="89">
      <c r="A89" t="inlineStr">
        <is>
          <t>NVDA</t>
        </is>
      </c>
      <c r="B89" t="n">
        <v>30</v>
      </c>
      <c r="C89" s="52" t="n">
        <v>-7.54</v>
      </c>
      <c r="D89" s="52" t="n">
        <v>0.26</v>
      </c>
      <c r="E89" t="inlineStr">
        <is>
          <t>AVOID</t>
        </is>
      </c>
    </row>
    <row r="90">
      <c r="A90" t="inlineStr">
        <is>
          <t>AVGO</t>
        </is>
      </c>
      <c r="B90" t="n">
        <v>30</v>
      </c>
      <c r="C90" s="52" t="n">
        <v>-8.869999999999999</v>
      </c>
      <c r="D90" s="52" t="n">
        <v>0.13</v>
      </c>
      <c r="E90" t="inlineStr">
        <is>
          <t>AVOID</t>
        </is>
      </c>
    </row>
    <row r="91">
      <c r="A91" t="inlineStr">
        <is>
          <t>XLK</t>
        </is>
      </c>
      <c r="B91" t="n">
        <v>25</v>
      </c>
      <c r="C91" s="52" t="n">
        <v>8.4</v>
      </c>
      <c r="D91" s="52" t="n">
        <v>0.22</v>
      </c>
      <c r="E91" t="inlineStr">
        <is>
          <t>AVOID</t>
        </is>
      </c>
    </row>
    <row r="92">
      <c r="A92" t="inlineStr">
        <is>
          <t>SMH</t>
        </is>
      </c>
      <c r="B92" t="n">
        <v>25</v>
      </c>
      <c r="C92" s="52" t="n">
        <v>7.89</v>
      </c>
      <c r="D92" s="52" t="n">
        <v>0.19</v>
      </c>
      <c r="E92" t="inlineStr">
        <is>
          <t>AVOID</t>
        </is>
      </c>
    </row>
    <row r="93">
      <c r="A93" t="inlineStr">
        <is>
          <t>COST</t>
        </is>
      </c>
      <c r="B93" t="n">
        <v>25</v>
      </c>
      <c r="C93" s="52" t="n">
        <v>-4.67</v>
      </c>
      <c r="D93" s="52" t="n">
        <v>0.14</v>
      </c>
      <c r="E93" t="inlineStr">
        <is>
          <t>AVOID</t>
        </is>
      </c>
    </row>
    <row r="94">
      <c r="A94" t="inlineStr">
        <is>
          <t>GOOGL</t>
        </is>
      </c>
      <c r="B94" t="n">
        <v>25</v>
      </c>
      <c r="C94" s="52" t="n">
        <v>-6.21</v>
      </c>
      <c r="D94" s="52" t="n">
        <v>0.28</v>
      </c>
      <c r="E94" t="inlineStr">
        <is>
          <t>AVOID</t>
        </is>
      </c>
    </row>
    <row r="95">
      <c r="A95" t="inlineStr">
        <is>
          <t>ZS</t>
        </is>
      </c>
      <c r="B95" t="n">
        <v>20</v>
      </c>
      <c r="C95" s="52" t="n">
        <v>7.96</v>
      </c>
      <c r="D95" s="52" t="n">
        <v>0.1</v>
      </c>
      <c r="E95" t="inlineStr">
        <is>
          <t>AVOID</t>
        </is>
      </c>
    </row>
    <row r="96">
      <c r="A96" t="inlineStr">
        <is>
          <t>HD</t>
        </is>
      </c>
      <c r="B96" t="n">
        <v>20</v>
      </c>
      <c r="C96" s="52" t="n">
        <v>2.95</v>
      </c>
      <c r="D96" s="52" t="n">
        <v>0.11</v>
      </c>
      <c r="E96" t="inlineStr">
        <is>
          <t>AVOID</t>
        </is>
      </c>
    </row>
    <row r="97">
      <c r="A97" t="inlineStr">
        <is>
          <t>META</t>
        </is>
      </c>
      <c r="B97" t="n">
        <v>20</v>
      </c>
      <c r="C97" s="52" t="n">
        <v>-10.41</v>
      </c>
      <c r="D97" s="52" t="n">
        <v>0.12</v>
      </c>
      <c r="E97" t="inlineStr">
        <is>
          <t>AVOID</t>
        </is>
      </c>
    </row>
    <row r="98">
      <c r="A98" t="inlineStr">
        <is>
          <t>SMCI</t>
        </is>
      </c>
      <c r="B98" t="n">
        <v>15</v>
      </c>
      <c r="C98" s="52" t="n">
        <v>4.99</v>
      </c>
      <c r="D98" s="52" t="n">
        <v>0.22</v>
      </c>
      <c r="E98" t="inlineStr">
        <is>
          <t>AVOID</t>
        </is>
      </c>
    </row>
    <row r="99">
      <c r="A99" t="inlineStr">
        <is>
          <t>MSFT</t>
        </is>
      </c>
      <c r="B99" t="n">
        <v>15</v>
      </c>
      <c r="C99" s="52" t="n">
        <v>-7.78</v>
      </c>
      <c r="D99" s="52" t="n">
        <v>0.2</v>
      </c>
      <c r="E99" t="inlineStr">
        <is>
          <t>AVOID</t>
        </is>
      </c>
    </row>
    <row r="100">
      <c r="A100" t="inlineStr">
        <is>
          <t>BSX</t>
        </is>
      </c>
      <c r="B100" t="n">
        <v>15</v>
      </c>
      <c r="C100" s="52" t="n">
        <v>-23.19</v>
      </c>
      <c r="D100" s="52" t="n">
        <v>0.22</v>
      </c>
      <c r="E100" t="inlineStr">
        <is>
          <t>AVOID</t>
        </is>
      </c>
    </row>
    <row r="101">
      <c r="A101" t="inlineStr">
        <is>
          <t>AMZN</t>
        </is>
      </c>
      <c r="B101" t="n">
        <v>10</v>
      </c>
      <c r="C101" s="52" t="n">
        <v>-10.31</v>
      </c>
      <c r="D101" s="52" t="n">
        <v>0.15</v>
      </c>
      <c r="E101" t="inlineStr">
        <is>
          <t>AVOID</t>
        </is>
      </c>
    </row>
    <row r="102">
      <c r="A102" t="inlineStr">
        <is>
          <t>HAL</t>
        </is>
      </c>
      <c r="B102" t="n">
        <v>10</v>
      </c>
      <c r="C102" s="52" t="n">
        <v>-17.72</v>
      </c>
      <c r="D102" s="52" t="n">
        <v>0.14</v>
      </c>
      <c r="E102" t="inlineStr">
        <is>
          <t>AVOID</t>
        </is>
      </c>
    </row>
    <row r="103">
      <c r="A103" t="inlineStr">
        <is>
          <t>WMT</t>
        </is>
      </c>
      <c r="B103" t="n">
        <v>5</v>
      </c>
      <c r="C103" s="52" t="n">
        <v>-12.36</v>
      </c>
      <c r="D103" s="52" t="n">
        <v>0.18</v>
      </c>
      <c r="E103" t="inlineStr">
        <is>
          <t>AVOID</t>
        </is>
      </c>
    </row>
    <row r="104">
      <c r="A104" t="inlineStr">
        <is>
          <t>IGV</t>
        </is>
      </c>
      <c r="B104" t="n">
        <v>0</v>
      </c>
      <c r="C104" s="52" t="n">
        <v>5.88</v>
      </c>
      <c r="D104" s="52" t="n">
        <v>0.35</v>
      </c>
      <c r="E104" t="inlineStr">
        <is>
          <t>AVOID</t>
        </is>
      </c>
    </row>
    <row r="105">
      <c r="A105" t="inlineStr">
        <is>
          <t>PLTR</t>
        </is>
      </c>
      <c r="B105" t="n">
        <v>0</v>
      </c>
      <c r="C105" s="52" t="n">
        <v>-11.25</v>
      </c>
      <c r="D105" s="52" t="n">
        <v>0.19</v>
      </c>
      <c r="E105" t="inlineStr">
        <is>
          <t>AVOID</t>
        </is>
      </c>
    </row>
    <row r="106">
      <c r="A106" t="inlineStr">
        <is>
          <t>LOW</t>
        </is>
      </c>
      <c r="B106" t="n">
        <v>0</v>
      </c>
      <c r="C106" s="52" t="n">
        <v>-12.46</v>
      </c>
      <c r="D106" s="52" t="n">
        <v>0.11</v>
      </c>
      <c r="E106" t="inlineStr">
        <is>
          <t>AVOID</t>
        </is>
      </c>
    </row>
    <row r="107">
      <c r="A107" t="inlineStr">
        <is>
          <t>ISRG</t>
        </is>
      </c>
      <c r="B107" t="n">
        <v>0</v>
      </c>
      <c r="C107" s="52" t="n">
        <v>-24.8</v>
      </c>
      <c r="D107" s="52" t="n">
        <v>0.33</v>
      </c>
      <c r="E107" t="inlineStr">
        <is>
          <t>AVOID</t>
        </is>
      </c>
    </row>
  </sheetData>
  <mergeCells count="38">
    <mergeCell ref="A30:E30"/>
    <mergeCell ref="L15:N15"/>
    <mergeCell ref="L33:N33"/>
    <mergeCell ref="L24:N24"/>
    <mergeCell ref="L42:N42"/>
    <mergeCell ref="L23:N23"/>
    <mergeCell ref="L39:N39"/>
    <mergeCell ref="L8:N8"/>
    <mergeCell ref="L45:N45"/>
    <mergeCell ref="L30:N30"/>
    <mergeCell ref="L35:N35"/>
    <mergeCell ref="L51:N51"/>
    <mergeCell ref="L26:N26"/>
    <mergeCell ref="L20:N20"/>
    <mergeCell ref="A2:C2"/>
    <mergeCell ref="L29:N29"/>
    <mergeCell ref="L41:N41"/>
    <mergeCell ref="A54:E54"/>
    <mergeCell ref="L50:N50"/>
    <mergeCell ref="L44:N44"/>
    <mergeCell ref="L22:N22"/>
    <mergeCell ref="L40:N40"/>
    <mergeCell ref="L9:N9"/>
    <mergeCell ref="L31:N31"/>
    <mergeCell ref="L34:N34"/>
    <mergeCell ref="L21:N21"/>
    <mergeCell ref="A1:J1"/>
    <mergeCell ref="L49:N49"/>
    <mergeCell ref="L36:N36"/>
    <mergeCell ref="L27:N27"/>
    <mergeCell ref="Q15:U15"/>
    <mergeCell ref="L28:N28"/>
    <mergeCell ref="L19:N19"/>
    <mergeCell ref="L37:N37"/>
    <mergeCell ref="L47:N47"/>
    <mergeCell ref="L43:N43"/>
    <mergeCell ref="A13:E13"/>
    <mergeCell ref="L1:R1"/>
  </mergeCells>
  <conditionalFormatting sqref="B4">
    <cfRule type="cellIs" priority="1" operator="equal" dxfId="6">
      <formula>"BEARISH"</formula>
    </cfRule>
    <cfRule type="cellIs" priority="2" operator="equal" dxfId="5">
      <formula>"NEUTRAL"</formula>
    </cfRule>
    <cfRule type="cellIs" priority="3" operator="equal" dxfId="3">
      <formula>"BULLISH"</formula>
    </cfRule>
  </conditionalFormatting>
  <conditionalFormatting sqref="B57:B59 E57:G59">
    <cfRule type="expression" priority="25" dxfId="3">
      <formula>$I51="BUY"</formula>
    </cfRule>
  </conditionalFormatting>
  <conditionalFormatting sqref="I1:I2 I41:I1048576">
    <cfRule type="cellIs" priority="17" operator="equal" dxfId="6">
      <formula>"SELL / AVOID"</formula>
    </cfRule>
    <cfRule type="cellIs" priority="18" operator="equal" dxfId="5">
      <formula>"WATCH FOR ENTRY"</formula>
    </cfRule>
    <cfRule type="cellIs" priority="19" operator="equal" dxfId="4">
      <formula>"BUY NOW"</formula>
    </cfRule>
  </conditionalFormatting>
  <conditionalFormatting sqref="B60:B100 E60:G100 I49:I100">
    <cfRule type="expression" priority="20" dxfId="3">
      <formula>$I49="BUY"</formula>
    </cfRule>
  </conditionalFormatting>
  <conditionalFormatting sqref="I49:I100">
    <cfRule type="cellIs" priority="21" operator="equal" dxfId="2">
      <formula>"AVOID"</formula>
    </cfRule>
    <cfRule type="cellIs" priority="22" operator="equal" dxfId="1">
      <formula>"WATCH"</formula>
    </cfRule>
    <cfRule type="cellIs" priority="23" operator="equal" dxfId="0">
      <formula>"BUY"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Henrich, Parker /GA059</dc:creator>
  <dcterms:created xmlns:dcterms="http://purl.org/dc/terms/" xmlns:xsi="http://www.w3.org/2001/XMLSchema-instance" xsi:type="dcterms:W3CDTF">2026-07-13T19:08:00Z</dcterms:created>
  <dcterms:modified xmlns:dcterms="http://purl.org/dc/terms/" xmlns:xsi="http://www.w3.org/2001/XMLSchema-instance" xsi:type="dcterms:W3CDTF">2026-07-30T19:18:41Z</dcterms:modified>
  <cp:lastModifiedBy>Parker Henrich</cp:lastModifiedBy>
</cp:coreProperties>
</file>